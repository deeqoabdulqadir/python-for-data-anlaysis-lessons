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pc\Documents\data analysisc course\"/>
    </mc:Choice>
  </mc:AlternateContent>
  <xr:revisionPtr revIDLastSave="0" documentId="13_ncr:1_{0AD820DD-ED17-46E4-9C1D-32F8536C287B}" xr6:coauthVersionLast="47" xr6:coauthVersionMax="47" xr10:uidLastSave="{00000000-0000-0000-0000-000000000000}"/>
  <bookViews>
    <workbookView xWindow="-110" yWindow="-110" windowWidth="19420" windowHeight="10300" xr2:uid="{37314C57-5C8D-4C44-B9A0-C7D39E05E50E}"/>
  </bookViews>
  <sheets>
    <sheet name="Original data" sheetId="10" r:id="rId1"/>
    <sheet name="Clean_Data" sheetId="2" r:id="rId2"/>
    <sheet name="Analysis" sheetId="3" r:id="rId3"/>
    <sheet name="PivotTables" sheetId="12" r:id="rId4"/>
    <sheet name="dashbord" sheetId="11" r:id="rId5"/>
    <sheet name="Project-info" sheetId="1" r:id="rId6"/>
  </sheets>
  <externalReferences>
    <externalReference r:id="rId7"/>
    <externalReference r:id="rId8"/>
  </externalReferences>
  <definedNames>
    <definedName name="Slicer_Academic_Status">#N/A</definedName>
    <definedName name="Slicer_Academic_Status2">#N/A</definedName>
    <definedName name="Slicer_Attendance_Percent1">#N/A</definedName>
    <definedName name="Slicer_Final_Score">#N/A</definedName>
    <definedName name="Slicer_Program_Clean">#N/A</definedName>
    <definedName name="Slicer_Program2">#N/A</definedName>
  </definedNames>
  <calcPr calcId="191029"/>
  <pivotCaches>
    <pivotCache cacheId="0" r:id="rId9"/>
    <pivotCache cacheId="1" r:id="rId10"/>
    <pivotCache cacheId="2"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4" i="3" l="1"/>
  <c r="B23" i="3"/>
  <c r="B84" i="3"/>
  <c r="B85" i="3"/>
  <c r="B83" i="3"/>
  <c r="B82" i="3"/>
  <c r="T9" i="2"/>
  <c r="T8" i="2"/>
  <c r="T7" i="2"/>
  <c r="T6" i="2"/>
  <c r="T5" i="2"/>
  <c r="T4" i="2"/>
  <c r="B18" i="3"/>
  <c r="H19" i="1"/>
  <c r="B5" i="3" a="1"/>
  <c r="B5" i="3" s="1"/>
  <c r="L3" i="2"/>
  <c r="L2" i="2"/>
  <c r="K2"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2" i="2"/>
  <c r="I133" i="2"/>
  <c r="I217"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B15" i="3" l="1"/>
  <c r="N2" i="2"/>
  <c r="B8" i="3"/>
  <c r="B7" i="3"/>
  <c r="B16" i="3"/>
  <c r="B17" i="3"/>
  <c r="N216" i="2"/>
  <c r="B20" i="3" l="1"/>
  <c r="C302" i="2"/>
  <c r="B19" i="3"/>
  <c r="B9" i="3"/>
  <c r="B10" i="3" l="1"/>
  <c r="B11" i="3"/>
  <c r="D30" i="3"/>
  <c r="C32" i="3"/>
  <c r="C31" i="3"/>
  <c r="C30" i="3"/>
  <c r="D32" i="3"/>
  <c r="B32" i="3"/>
  <c r="D31" i="3"/>
  <c r="B31" i="3"/>
  <c r="B30" i="3"/>
  <c r="B6"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<sst xmlns="http://schemas.openxmlformats.org/spreadsheetml/2006/main" count="2006" uniqueCount="391">
  <si>
    <t>Excel Date Analysis Project</t>
  </si>
  <si>
    <t>Project Title</t>
  </si>
  <si>
    <t>Dataset Name</t>
  </si>
  <si>
    <t>Book11.xlsx — Student Performance Dataset</t>
  </si>
  <si>
    <t>Dataset Source</t>
  </si>
  <si>
    <t>User-provided workbook (Book11.xlsx)</t>
  </si>
  <si>
    <t>Purpose</t>
  </si>
  <si>
    <t>Prepare, clean, analyze and visualize student academic performance data.</t>
  </si>
  <si>
    <t>Original Records</t>
  </si>
  <si>
    <t>Original Variables</t>
  </si>
  <si>
    <t>Cleaned Records</t>
  </si>
  <si>
    <t>Cleaned Variables</t>
  </si>
  <si>
    <t>doublecate</t>
  </si>
  <si>
    <t>Student_ID</t>
  </si>
  <si>
    <t>Program</t>
  </si>
  <si>
    <t>Attendance_Percent</t>
  </si>
  <si>
    <t>Assignment_Score</t>
  </si>
  <si>
    <t>Midterm_Score</t>
  </si>
  <si>
    <t>Final_Score</t>
  </si>
  <si>
    <t>Academic_Status</t>
  </si>
  <si>
    <t>STD0229</t>
  </si>
  <si>
    <t>Public Health</t>
  </si>
  <si>
    <t>At Risk</t>
  </si>
  <si>
    <t>STD0112</t>
  </si>
  <si>
    <t>Business Administration</t>
  </si>
  <si>
    <t>STD0272</t>
  </si>
  <si>
    <t>Good Standing</t>
  </si>
  <si>
    <t>STD0055</t>
  </si>
  <si>
    <t>Engineering</t>
  </si>
  <si>
    <t>STD0045</t>
  </si>
  <si>
    <t>Computer Science</t>
  </si>
  <si>
    <t>good standing</t>
  </si>
  <si>
    <t>STD0097</t>
  </si>
  <si>
    <t>STD0284</t>
  </si>
  <si>
    <t>Data Science</t>
  </si>
  <si>
    <t>STD0261</t>
  </si>
  <si>
    <t>STD0160</t>
  </si>
  <si>
    <t>STD0096</t>
  </si>
  <si>
    <t>STD0214</t>
  </si>
  <si>
    <t>-</t>
  </si>
  <si>
    <t>STD0249</t>
  </si>
  <si>
    <t>STD0279</t>
  </si>
  <si>
    <t>STD0213</t>
  </si>
  <si>
    <t>STD0215</t>
  </si>
  <si>
    <t>STD0236</t>
  </si>
  <si>
    <t>STD0253</t>
  </si>
  <si>
    <t>Economics</t>
  </si>
  <si>
    <t>STD0053</t>
  </si>
  <si>
    <t>STD0009</t>
  </si>
  <si>
    <t>STD0057</t>
  </si>
  <si>
    <t>STD0259</t>
  </si>
  <si>
    <t>STD0289</t>
  </si>
  <si>
    <t>STD0188</t>
  </si>
  <si>
    <t>STD0269</t>
  </si>
  <si>
    <t>STD0147</t>
  </si>
  <si>
    <t>STD0276</t>
  </si>
  <si>
    <t>STD0101</t>
  </si>
  <si>
    <t>STD0291</t>
  </si>
  <si>
    <t>STD0133</t>
  </si>
  <si>
    <t>STD0171</t>
  </si>
  <si>
    <t>STD0016</t>
  </si>
  <si>
    <t>STD0242</t>
  </si>
  <si>
    <t>AT RISK</t>
  </si>
  <si>
    <t>STD0041</t>
  </si>
  <si>
    <t>STD0282</t>
  </si>
  <si>
    <t>STD0088</t>
  </si>
  <si>
    <t>STD0186</t>
  </si>
  <si>
    <t>STD0187</t>
  </si>
  <si>
    <t>STD0020</t>
  </si>
  <si>
    <t>STD0113</t>
  </si>
  <si>
    <t>STD0093</t>
  </si>
  <si>
    <t>STD0114</t>
  </si>
  <si>
    <t>STD0118</t>
  </si>
  <si>
    <t>STD0040</t>
  </si>
  <si>
    <t>GOOD STANDING</t>
  </si>
  <si>
    <t>STD0286</t>
  </si>
  <si>
    <t>STD0224</t>
  </si>
  <si>
    <t>STD0091</t>
  </si>
  <si>
    <t>STD0185</t>
  </si>
  <si>
    <t>STD0212</t>
  </si>
  <si>
    <t>STD0210</t>
  </si>
  <si>
    <t>STD0281</t>
  </si>
  <si>
    <t>STD0027</t>
  </si>
  <si>
    <t>STD0199</t>
  </si>
  <si>
    <t>STD0039</t>
  </si>
  <si>
    <t>STD0050</t>
  </si>
  <si>
    <t>STD0135</t>
  </si>
  <si>
    <t>STD0018</t>
  </si>
  <si>
    <t>STD0034</t>
  </si>
  <si>
    <t>STD0066</t>
  </si>
  <si>
    <t>STD0086</t>
  </si>
  <si>
    <t>Unknown</t>
  </si>
  <si>
    <t>STD0193</t>
  </si>
  <si>
    <t>STD0081</t>
  </si>
  <si>
    <t>STD0052</t>
  </si>
  <si>
    <t>STD0201</t>
  </si>
  <si>
    <t>STD0275</t>
  </si>
  <si>
    <t>STD0005</t>
  </si>
  <si>
    <t>STD0134</t>
  </si>
  <si>
    <t>STD0138</t>
  </si>
  <si>
    <t>STD0098</t>
  </si>
  <si>
    <t>STD0197</t>
  </si>
  <si>
    <t>STD0056</t>
  </si>
  <si>
    <t>STD0108</t>
  </si>
  <si>
    <t>STD0168</t>
  </si>
  <si>
    <t>STD0148</t>
  </si>
  <si>
    <t>STD0285</t>
  </si>
  <si>
    <t>STD0002</t>
  </si>
  <si>
    <t>STD0157</t>
  </si>
  <si>
    <t>STD0217</t>
  </si>
  <si>
    <t>STD0221</t>
  </si>
  <si>
    <t>engineering</t>
  </si>
  <si>
    <t>STD0205</t>
  </si>
  <si>
    <t>STD0084</t>
  </si>
  <si>
    <t>STD0082</t>
  </si>
  <si>
    <t>STD0146</t>
  </si>
  <si>
    <t>STD0069</t>
  </si>
  <si>
    <t>STD0119</t>
  </si>
  <si>
    <t>STD0032</t>
  </si>
  <si>
    <t>STD0090</t>
  </si>
  <si>
    <t>STD0072</t>
  </si>
  <si>
    <t>STD0049</t>
  </si>
  <si>
    <t>STD0191</t>
  </si>
  <si>
    <t>STD0287</t>
  </si>
  <si>
    <t>STD0127</t>
  </si>
  <si>
    <t>STD0181</t>
  </si>
  <si>
    <t>STD0216</t>
  </si>
  <si>
    <t>STD0233</t>
  </si>
  <si>
    <t>STD0105</t>
  </si>
  <si>
    <t>STD0078</t>
  </si>
  <si>
    <t>STD0180</t>
  </si>
  <si>
    <t>STD0116</t>
  </si>
  <si>
    <t>STD0007</t>
  </si>
  <si>
    <t>STD0141</t>
  </si>
  <si>
    <t>STD0260</t>
  </si>
  <si>
    <t>STD0222</t>
  </si>
  <si>
    <t>STD0251</t>
  </si>
  <si>
    <t>STD0132</t>
  </si>
  <si>
    <t>STD0099</t>
  </si>
  <si>
    <t>STD0182</t>
  </si>
  <si>
    <t>STD0227</t>
  </si>
  <si>
    <t>STD0121</t>
  </si>
  <si>
    <t>STD0170</t>
  </si>
  <si>
    <t>STD0252</t>
  </si>
  <si>
    <t>STD0228</t>
  </si>
  <si>
    <t>STD0080</t>
  </si>
  <si>
    <t>STD0179</t>
  </si>
  <si>
    <t>STD0274</t>
  </si>
  <si>
    <t>STD0010</t>
  </si>
  <si>
    <t>STD0102</t>
  </si>
  <si>
    <t>STD0021</t>
  </si>
  <si>
    <t>STD0011</t>
  </si>
  <si>
    <t>STD0037</t>
  </si>
  <si>
    <t>STD0013</t>
  </si>
  <si>
    <t>STD0025</t>
  </si>
  <si>
    <t>STD0076</t>
  </si>
  <si>
    <t>STD0111</t>
  </si>
  <si>
    <t>STD0256</t>
  </si>
  <si>
    <t>STD0071</t>
  </si>
  <si>
    <t>STD0022</t>
  </si>
  <si>
    <t>STD0268</t>
  </si>
  <si>
    <t>STD0077</t>
  </si>
  <si>
    <t>STD0123</t>
  </si>
  <si>
    <t>STD0131</t>
  </si>
  <si>
    <t>STD0035</t>
  </si>
  <si>
    <t>STD0176</t>
  </si>
  <si>
    <t>STD0254</t>
  </si>
  <si>
    <t>STD0270</t>
  </si>
  <si>
    <t>STD0203</t>
  </si>
  <si>
    <t>STD0030</t>
  </si>
  <si>
    <t>STD0267</t>
  </si>
  <si>
    <t>STD0051</t>
  </si>
  <si>
    <t>STD0008</t>
  </si>
  <si>
    <t>STD0046</t>
  </si>
  <si>
    <t>STD0004</t>
  </si>
  <si>
    <t>STD0218</t>
  </si>
  <si>
    <t>STD0206</t>
  </si>
  <si>
    <t>STD0143</t>
  </si>
  <si>
    <t>STD0144</t>
  </si>
  <si>
    <t>STD0255</t>
  </si>
  <si>
    <t>STD0074</t>
  </si>
  <si>
    <t>STD0158</t>
  </si>
  <si>
    <t>CS</t>
  </si>
  <si>
    <t>STD0024</t>
  </si>
  <si>
    <t>STD0273</t>
  </si>
  <si>
    <t>at risk</t>
  </si>
  <si>
    <t>STD0042</t>
  </si>
  <si>
    <t>STD0154</t>
  </si>
  <si>
    <t>STD0126</t>
  </si>
  <si>
    <t>STD0271</t>
  </si>
  <si>
    <t>STD0184</t>
  </si>
  <si>
    <t>STD0246</t>
  </si>
  <si>
    <t>STD0058</t>
  </si>
  <si>
    <t>STD0194</t>
  </si>
  <si>
    <t>STD0258</t>
  </si>
  <si>
    <t>STD0044</t>
  </si>
  <si>
    <t>STD0208</t>
  </si>
  <si>
    <t>STD0023</t>
  </si>
  <si>
    <t>STD0278</t>
  </si>
  <si>
    <t>STD0089</t>
  </si>
  <si>
    <t>STD0110</t>
  </si>
  <si>
    <t>STD0070</t>
  </si>
  <si>
    <t>STD0094</t>
  </si>
  <si>
    <t>STD0153</t>
  </si>
  <si>
    <t>STD0137</t>
  </si>
  <si>
    <t>STD0177</t>
  </si>
  <si>
    <t>PH</t>
  </si>
  <si>
    <t>AR</t>
  </si>
  <si>
    <t>STD0163</t>
  </si>
  <si>
    <t>STD0124</t>
  </si>
  <si>
    <t>STD0245</t>
  </si>
  <si>
    <t>STD0083</t>
  </si>
  <si>
    <t>STD0095</t>
  </si>
  <si>
    <t>STD0006</t>
  </si>
  <si>
    <t>STD0196</t>
  </si>
  <si>
    <t>STD0136</t>
  </si>
  <si>
    <t>STD0166</t>
  </si>
  <si>
    <t>STD0109</t>
  </si>
  <si>
    <t>STD0266</t>
  </si>
  <si>
    <t>STD0239</t>
  </si>
  <si>
    <t>STD0165</t>
  </si>
  <si>
    <t>STD0250</t>
  </si>
  <si>
    <t>STD0120</t>
  </si>
  <si>
    <t>STD0237</t>
  </si>
  <si>
    <t>STD0059</t>
  </si>
  <si>
    <t>STD0100</t>
  </si>
  <si>
    <t>STD0234</t>
  </si>
  <si>
    <t>STD0225</t>
  </si>
  <si>
    <t>STD0063</t>
  </si>
  <si>
    <t>STD0288</t>
  </si>
  <si>
    <t>STD0062</t>
  </si>
  <si>
    <t>STD0036</t>
  </si>
  <si>
    <t>STD0028</t>
  </si>
  <si>
    <t>STD0262</t>
  </si>
  <si>
    <t>STD0115</t>
  </si>
  <si>
    <t>STD0106</t>
  </si>
  <si>
    <t>STD0001</t>
  </si>
  <si>
    <t>STD0243</t>
  </si>
  <si>
    <t>STD0162</t>
  </si>
  <si>
    <t>STD0122</t>
  </si>
  <si>
    <t>STD0161</t>
  </si>
  <si>
    <t>STD0073</t>
  </si>
  <si>
    <t>STD0012</t>
  </si>
  <si>
    <t>STD0248</t>
  </si>
  <si>
    <t>STD0202</t>
  </si>
  <si>
    <t>STD0149</t>
  </si>
  <si>
    <t>STD0219</t>
  </si>
  <si>
    <t>STD0240</t>
  </si>
  <si>
    <t>STD0104</t>
  </si>
  <si>
    <t>STD0178</t>
  </si>
  <si>
    <t>STD0198</t>
  </si>
  <si>
    <t>STD0263</t>
  </si>
  <si>
    <t>STD0290</t>
  </si>
  <si>
    <t>STD0017</t>
  </si>
  <si>
    <t>STD0192</t>
  </si>
  <si>
    <t>STD0087</t>
  </si>
  <si>
    <t>STD0129</t>
  </si>
  <si>
    <t>STD0264</t>
  </si>
  <si>
    <t>STD0230</t>
  </si>
  <si>
    <t>STD0075</t>
  </si>
  <si>
    <t>STD0085</t>
  </si>
  <si>
    <t>STD0139</t>
  </si>
  <si>
    <t>STD0277</t>
  </si>
  <si>
    <t>STD0029</t>
  </si>
  <si>
    <t>STD0280</t>
  </si>
  <si>
    <t>STD0167</t>
  </si>
  <si>
    <t>STD0207</t>
  </si>
  <si>
    <t>STD0223</t>
  </si>
  <si>
    <t>STD0174</t>
  </si>
  <si>
    <t>data science</t>
  </si>
  <si>
    <t>STD0151</t>
  </si>
  <si>
    <t>STD0175</t>
  </si>
  <si>
    <t>STD0189</t>
  </si>
  <si>
    <t>STD0103</t>
  </si>
  <si>
    <t>STD0200</t>
  </si>
  <si>
    <t>STD0257</t>
  </si>
  <si>
    <t>STD0190</t>
  </si>
  <si>
    <t>STD0232</t>
  </si>
  <si>
    <t>STD0068</t>
  </si>
  <si>
    <t>STD0079</t>
  </si>
  <si>
    <t>STD0142</t>
  </si>
  <si>
    <t>STD0015</t>
  </si>
  <si>
    <t>STD0128</t>
  </si>
  <si>
    <t>STD0125</t>
  </si>
  <si>
    <t>STD0204</t>
  </si>
  <si>
    <t>STD0156</t>
  </si>
  <si>
    <t>STD0172</t>
  </si>
  <si>
    <t>STD0150</t>
  </si>
  <si>
    <t>STD0003</t>
  </si>
  <si>
    <t>STD0283</t>
  </si>
  <si>
    <t>STD0238</t>
  </si>
  <si>
    <t>STD0195</t>
  </si>
  <si>
    <t>STD0220</t>
  </si>
  <si>
    <t>STD0235</t>
  </si>
  <si>
    <t>STD0159</t>
  </si>
  <si>
    <t>STD0211</t>
  </si>
  <si>
    <t>STD0292</t>
  </si>
  <si>
    <t>STD0038</t>
  </si>
  <si>
    <t>STD0117</t>
  </si>
  <si>
    <t>STD0145</t>
  </si>
  <si>
    <t>STD0014</t>
  </si>
  <si>
    <t>STD0155</t>
  </si>
  <si>
    <t>STD0061</t>
  </si>
  <si>
    <t>STD0152</t>
  </si>
  <si>
    <t>STD0244</t>
  </si>
  <si>
    <t>STD0265</t>
  </si>
  <si>
    <t>STD0048</t>
  </si>
  <si>
    <t>STD0130</t>
  </si>
  <si>
    <t>STD0140</t>
  </si>
  <si>
    <t>STD0169</t>
  </si>
  <si>
    <t>STD0043</t>
  </si>
  <si>
    <t>STD0231</t>
  </si>
  <si>
    <t>STD0065</t>
  </si>
  <si>
    <t>STD0033</t>
  </si>
  <si>
    <t>STD0092</t>
  </si>
  <si>
    <t>STD0173</t>
  </si>
  <si>
    <t>STD0067</t>
  </si>
  <si>
    <t>unknow</t>
  </si>
  <si>
    <t>ANALYSIS — FORMULAS, TEXT CLEANING &amp; QUALITY CHECKS</t>
  </si>
  <si>
    <t>Basic Formula Analysis</t>
  </si>
  <si>
    <t>Total records</t>
  </si>
  <si>
    <t>Unique Student IDs</t>
  </si>
  <si>
    <t>Average Attendance</t>
  </si>
  <si>
    <t>Average Assignment Score</t>
  </si>
  <si>
    <t>Average Midterm Score</t>
  </si>
  <si>
    <t>Average Final Score</t>
  </si>
  <si>
    <t>Minimum Final Score</t>
  </si>
  <si>
    <t>Maximum Final Score</t>
  </si>
  <si>
    <t>Conditional Functions</t>
  </si>
  <si>
    <t>Good Standing Count</t>
  </si>
  <si>
    <t>At Risk Count</t>
  </si>
  <si>
    <t>Unknown Status Count</t>
  </si>
  <si>
    <t>Average Final — Good Standing</t>
  </si>
  <si>
    <t>Average Final — At Risk</t>
  </si>
  <si>
    <t>Students with Final ≥ 70</t>
  </si>
  <si>
    <t>Logical Analysis</t>
  </si>
  <si>
    <t>At Risk + Low Attendance Example</t>
  </si>
  <si>
    <t>High Score OR High Attendance</t>
  </si>
  <si>
    <t>Text Cleaning — 3 Excel Functions</t>
  </si>
  <si>
    <t>Original</t>
  </si>
  <si>
    <t>TRIM</t>
  </si>
  <si>
    <t>PROPER</t>
  </si>
  <si>
    <t>UPPER</t>
  </si>
  <si>
    <t xml:space="preserve">  computer science  </t>
  </si>
  <si>
    <t>public health</t>
  </si>
  <si>
    <t>Row Labels</t>
  </si>
  <si>
    <t>(blank)</t>
  </si>
  <si>
    <t>Grand Total</t>
  </si>
  <si>
    <t>Count of Student_ID</t>
  </si>
  <si>
    <t>Count of Final_Score</t>
  </si>
  <si>
    <t>Sum of Midterm_Score</t>
  </si>
  <si>
    <t>(All)</t>
  </si>
  <si>
    <t>N/A</t>
  </si>
  <si>
    <t>NULL</t>
  </si>
  <si>
    <t>Findings</t>
  </si>
  <si>
    <t>3. Business Administration has the most students (59).</t>
  </si>
  <si>
    <t>4. Data Science has the highest average attendance (82.9%).</t>
  </si>
  <si>
    <t>5. Computer Science has the highest average Final Score (72.8%).</t>
  </si>
  <si>
    <t>Recommendations</t>
  </si>
  <si>
    <t>1. Give extra support to At-Risk students.</t>
  </si>
  <si>
    <t>2. Improve student attendance and academic performance.</t>
  </si>
  <si>
    <t>3. Use the dashboard to monitor student performance regularly.</t>
  </si>
  <si>
    <t>date sort midter_score smallest to largest</t>
  </si>
  <si>
    <t>date sort midter_score largest to smallest</t>
  </si>
  <si>
    <t xml:space="preserve"> </t>
  </si>
  <si>
    <t>Student Attendance and Academic Analysis</t>
  </si>
  <si>
    <t>Unknow</t>
  </si>
  <si>
    <t>blanks  cells</t>
  </si>
  <si>
    <t>Program_Clean</t>
  </si>
  <si>
    <t>Original Examples</t>
  </si>
  <si>
    <t>UNKNOWN</t>
  </si>
  <si>
    <t>Canonical Academic Status</t>
  </si>
  <si>
    <t>Program Lookup Table</t>
  </si>
  <si>
    <t>blank</t>
  </si>
  <si>
    <t>Academic Status</t>
  </si>
  <si>
    <t>Column1</t>
  </si>
  <si>
    <t>Column2</t>
  </si>
  <si>
    <t>220 ÷ 297 × 100 = 69.02% ≈ 69%</t>
  </si>
  <si>
    <t>55/297*100=</t>
  </si>
  <si>
    <t>1. 74.07% of students are in Good Standing.</t>
  </si>
  <si>
    <t>2.18.52% of students are At Risk.</t>
  </si>
  <si>
    <t>Column3</t>
  </si>
  <si>
    <t>Var-final score</t>
  </si>
  <si>
    <t>Vara-midterm</t>
  </si>
  <si>
    <t>Vara-Atandence</t>
  </si>
  <si>
    <t>Vara-Assagmenst</t>
  </si>
  <si>
    <t>Good-Standing</t>
  </si>
  <si>
    <t>At-Risk</t>
  </si>
  <si>
    <t>Academic Status Lookup Table</t>
  </si>
  <si>
    <t>Academic Metric</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</si>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</sst>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
  </numFmts>
  <fonts count="18">
    <font>
      <sz val="11"/>
      <color theme="1"/>
      <name val="Calibri"/>
      <family val="2"/>
      <scheme val="minor"/>
    </font>
    <font>
      <sz val="22"/>
      <color theme="0"/>
      <name val="Calibri"/>
      <family val="2"/>
      <scheme val="minor"/>
    </font>
    <font>
      <b/>
      <sz val="11"/>
      <color rgb="FF1F4E78"/>
      <name val="Calibri"/>
      <family val="2"/>
    </font>
    <font>
      <b/>
      <sz val="11"/>
      <color theme="0"/>
      <name val="Calibri"/>
      <family val="2"/>
    </font>
    <font>
      <b/>
      <sz val="11"/>
      <color rgb="FFFFFFFF"/>
      <name val="Calibri"/>
      <family val="2"/>
    </font>
    <font>
      <b/>
      <sz val="20"/>
      <color rgb="FFFFFFFF"/>
      <name val="Calibri"/>
      <family val="2"/>
    </font>
    <font>
      <b/>
      <sz val="13"/>
      <color rgb="FFFFFFFF"/>
      <name val="Calibri"/>
      <family val="2"/>
    </font>
    <font>
      <b/>
      <sz val="11"/>
      <name val="Calibri"/>
      <family val="2"/>
    </font>
    <font>
      <b/>
      <sz val="12"/>
      <color rgb="FFFFFFFF"/>
      <name val="Calibri"/>
      <family val="2"/>
    </font>
    <font>
      <b/>
      <sz val="11"/>
      <name val="Carlito"/>
    </font>
    <font>
      <b/>
      <sz val="11"/>
      <color theme="1"/>
      <name val="Calibri"/>
      <family val="2"/>
      <scheme val="minor"/>
    </font>
    <font>
      <b/>
      <sz val="18"/>
      <color theme="1"/>
      <name val="Calibri"/>
      <family val="2"/>
      <scheme val="minor"/>
    </font>
    <font>
      <sz val="11"/>
      <color rgb="FF002060"/>
      <name val="Calibri"/>
      <family val="2"/>
      <scheme val="minor"/>
    </font>
    <font>
      <sz val="11"/>
      <color rgb="FF9900FF"/>
      <name val="Calibri"/>
      <family val="2"/>
      <scheme val="minor"/>
    </font>
    <font>
      <sz val="10"/>
      <color theme="1"/>
      <name val="Arial Unicode MS"/>
    </font>
    <font>
      <sz val="8"/>
      <name val="Calibri"/>
      <family val="2"/>
      <scheme val="minor"/>
    </font>
    <font>
      <sz val="11"/>
      <color rgb="FFFFC000"/>
      <name val="Calibri"/>
      <family val="2"/>
      <scheme val="minor"/>
    </font>
    <font>
      <sz val="16"/>
      <color rgb="FF7D40EC"/>
      <name val="Calibri"/>
      <family val="2"/>
      <scheme val="minor"/>
    </font>
  </fonts>
  <fills count="9">
    <fill>
      <patternFill patternType="none"/>
    </fill>
    <fill>
      <patternFill patternType="gray125"/>
    </fill>
    <fill>
      <patternFill patternType="solid">
        <fgColor rgb="FF00B0F0"/>
        <bgColor indexed="64"/>
      </patternFill>
    </fill>
    <fill>
      <patternFill patternType="solid">
        <fgColor rgb="FFD9EAF7"/>
      </patternFill>
    </fill>
    <fill>
      <patternFill patternType="solid">
        <fgColor theme="0"/>
        <bgColor indexed="64"/>
      </patternFill>
    </fill>
    <fill>
      <patternFill patternType="solid">
        <fgColor rgb="FF1F4E78"/>
      </patternFill>
    </fill>
    <fill>
      <patternFill patternType="solid">
        <fgColor rgb="FF5B9BD5"/>
      </patternFill>
    </fill>
    <fill>
      <patternFill patternType="solid">
        <fgColor theme="4" tint="0.79998168889431442"/>
        <bgColor theme="4" tint="0.79998168889431442"/>
      </patternFill>
    </fill>
    <fill>
      <patternFill patternType="solid">
        <fgColor rgb="FF0070C0"/>
        <bgColor indexed="64"/>
      </patternFill>
    </fill>
  </fills>
  <borders count="7">
    <border>
      <left/>
      <right/>
      <top/>
      <bottom/>
      <diagonal/>
    </border>
    <border>
      <left style="thin">
        <color rgb="FFD9E1F2"/>
      </left>
      <right style="thin">
        <color rgb="FFD9E1F2"/>
      </right>
      <top style="thin">
        <color rgb="FFD9E1F2"/>
      </top>
      <bottom style="thin">
        <color rgb="FFD9E1F2"/>
      </bottom>
      <diagonal/>
    </border>
    <border>
      <left style="thin">
        <color rgb="FFD9E1F2"/>
      </left>
      <right style="thin">
        <color rgb="FFD9E1F2"/>
      </right>
      <top/>
      <bottom/>
      <diagonal/>
    </border>
    <border>
      <left style="thin">
        <color rgb="FFD9E1F2"/>
      </left>
      <right/>
      <top style="thin">
        <color rgb="FFD9E1F2"/>
      </top>
      <bottom style="thin">
        <color rgb="FFD9E1F2"/>
      </bottom>
      <diagonal/>
    </border>
    <border>
      <left/>
      <right/>
      <top style="thin">
        <color rgb="FFD9E1F2"/>
      </top>
      <bottom style="thin">
        <color rgb="FFD9E1F2"/>
      </bottom>
      <diagonal/>
    </border>
    <border>
      <left/>
      <right style="thin">
        <color rgb="FFD9E1F2"/>
      </right>
      <top style="thin">
        <color rgb="FFD9E1F2"/>
      </top>
      <bottom style="thin">
        <color rgb="FFD9E1F2"/>
      </bottom>
      <diagonal/>
    </border>
    <border>
      <left/>
      <right/>
      <top/>
      <bottom style="thin">
        <color rgb="FFD9E1F2"/>
      </bottom>
      <diagonal/>
    </border>
  </borders>
  <cellStyleXfs count="1">
    <xf numFmtId="0" fontId="0" fillId="0" borderId="0"/>
  </cellStyleXfs>
  <cellXfs count="38">
    <xf numFmtId="0" fontId="0" fillId="0" borderId="0" xfId="0"/>
    <xf numFmtId="0" fontId="2" fillId="3" borderId="1" xfId="0" applyFont="1" applyFill="1" applyBorder="1"/>
    <xf numFmtId="0" fontId="0" fillId="0" borderId="1" xfId="0" applyBorder="1"/>
    <xf numFmtId="0" fontId="3" fillId="4" borderId="1" xfId="0" applyFont="1" applyFill="1" applyBorder="1"/>
    <xf numFmtId="0" fontId="2" fillId="3" borderId="2" xfId="0" applyFont="1" applyFill="1" applyBorder="1"/>
    <xf numFmtId="0" fontId="0" fillId="0" borderId="2" xfId="0" applyBorder="1"/>
    <xf numFmtId="0" fontId="4" fillId="5" borderId="1" xfId="0" applyFont="1" applyFill="1" applyBorder="1" applyAlignment="1">
      <alignment horizontal="center" vertical="center"/>
    </xf>
    <xf numFmtId="1" fontId="0" fillId="0" borderId="1" xfId="0" applyNumberFormat="1" applyBorder="1"/>
    <xf numFmtId="2" fontId="0" fillId="0" borderId="1" xfId="0" applyNumberFormat="1" applyBorder="1"/>
    <xf numFmtId="0" fontId="7" fillId="3" borderId="1" xfId="0" applyFont="1" applyFill="1" applyBorder="1"/>
    <xf numFmtId="0" fontId="8" fillId="5" borderId="1" xfId="0" applyFont="1" applyFill="1" applyBorder="1" applyAlignment="1">
      <alignment horizontal="center" vertical="center"/>
    </xf>
    <xf numFmtId="0" fontId="0" fillId="0" borderId="0" xfId="0" pivotButton="1"/>
    <xf numFmtId="0" fontId="0" fillId="0" borderId="0" xfId="0" applyAlignment="1">
      <alignment horizontal="left"/>
    </xf>
    <xf numFmtId="0" fontId="9" fillId="3" borderId="0" xfId="0" applyFont="1" applyFill="1" applyAlignment="1">
      <alignment horizontal="center" vertical="center"/>
    </xf>
    <xf numFmtId="164" fontId="0" fillId="0" borderId="0" xfId="0" applyNumberFormat="1"/>
    <xf numFmtId="0" fontId="11" fillId="0" borderId="0" xfId="0" applyFont="1" applyAlignment="1">
      <alignment vertical="center"/>
    </xf>
    <xf numFmtId="0" fontId="0" fillId="0" borderId="0" xfId="0" applyAlignment="1">
      <alignment horizontal="left" vertical="center" indent="1"/>
    </xf>
    <xf numFmtId="0" fontId="10" fillId="0" borderId="0" xfId="0" applyFont="1" applyAlignment="1">
      <alignment horizontal="left" vertical="center" indent="1"/>
    </xf>
    <xf numFmtId="0" fontId="0" fillId="7" borderId="1" xfId="0" applyFill="1" applyBorder="1"/>
    <xf numFmtId="0" fontId="12" fillId="0" borderId="0" xfId="0" applyFont="1"/>
    <xf numFmtId="0" fontId="13" fillId="0" borderId="0" xfId="0" applyFont="1" applyAlignment="1">
      <alignment horizontal="center" vertical="center"/>
    </xf>
    <xf numFmtId="44" fontId="0" fillId="0" borderId="0" xfId="0" applyNumberFormat="1"/>
    <xf numFmtId="0" fontId="8" fillId="0" borderId="0" xfId="0" applyFont="1"/>
    <xf numFmtId="0" fontId="0" fillId="0" borderId="0" xfId="0" applyAlignment="1">
      <alignment vertical="center" wrapText="1"/>
    </xf>
    <xf numFmtId="0" fontId="10" fillId="8" borderId="0" xfId="0" applyFont="1" applyFill="1" applyAlignment="1">
      <alignment horizontal="left" vertical="center" wrapText="1"/>
    </xf>
    <xf numFmtId="0" fontId="10" fillId="8" borderId="0" xfId="0" applyFont="1" applyFill="1" applyAlignment="1">
      <alignment horizontal="center" vertical="center" wrapText="1"/>
    </xf>
    <xf numFmtId="0" fontId="14" fillId="0" borderId="0" xfId="0" applyFont="1" applyAlignment="1">
      <alignment vertical="center" wrapText="1"/>
    </xf>
    <xf numFmtId="0" fontId="16" fillId="0" borderId="0" xfId="0" applyFont="1"/>
    <xf numFmtId="2" fontId="0" fillId="0" borderId="0" xfId="0" applyNumberFormat="1"/>
    <xf numFmtId="0" fontId="17" fillId="0" borderId="0" xfId="0" applyFont="1" applyAlignment="1">
      <alignment horizontal="left" vertical="center"/>
    </xf>
    <xf numFmtId="0" fontId="1" fillId="2" borderId="0" xfId="0" applyFont="1" applyFill="1" applyAlignment="1">
      <alignment horizontal="center"/>
    </xf>
    <xf numFmtId="0" fontId="5" fillId="5" borderId="0" xfId="0" applyFont="1" applyFill="1" applyAlignment="1">
      <alignment horizontal="center" vertical="center"/>
    </xf>
    <xf numFmtId="0" fontId="6" fillId="6" borderId="0" xfId="0" applyFont="1" applyFill="1"/>
    <xf numFmtId="0" fontId="0" fillId="0" borderId="0" xfId="0"/>
    <xf numFmtId="0" fontId="8" fillId="8" borderId="3" xfId="0" applyFont="1" applyFill="1" applyBorder="1" applyAlignment="1">
      <alignment horizontal="left" vertical="center"/>
    </xf>
    <xf numFmtId="0" fontId="8" fillId="8" borderId="4" xfId="0" applyFont="1" applyFill="1" applyBorder="1" applyAlignment="1">
      <alignment horizontal="left" vertical="center"/>
    </xf>
    <xf numFmtId="0" fontId="8" fillId="8" borderId="5" xfId="0" applyFont="1" applyFill="1" applyBorder="1" applyAlignment="1">
      <alignment horizontal="left" vertical="center"/>
    </xf>
    <xf numFmtId="0" fontId="0" fillId="8" borderId="6" xfId="0" applyFill="1" applyBorder="1" applyAlignment="1">
      <alignment horizontal="left"/>
    </xf>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font>
        <b/>
        <strike val="0"/>
        <outline val="0"/>
        <shadow val="0"/>
        <u val="none"/>
        <vertAlign val="baseline"/>
        <sz val="12"/>
        <color rgb="FFFFFFFF"/>
        <name val="Calibri"/>
        <family val="2"/>
        <scheme val="none"/>
      </font>
    </dxf>
  </dxfs>
  <tableStyles count="0" defaultTableStyle="TableStyleMedium2" defaultPivotStyle="PivotStyleLight16"/>
  <colors>
    <mruColors>
      <color rgb="FF9900FF"/>
      <color rgb="FFEAEAFA"/>
      <color rgb="FF6600CC"/>
      <color rgb="FF2E6BDA"/>
      <color rgb="FF652F91"/>
      <color rgb="FF990099"/>
      <color rgb="FF7D40EC"/>
      <color rgb="FF338D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externalLink" Target="externalLinks/externalLink1.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[Book1211.xlsx]PivotTables!PivotTable3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B050"/>
                </a:solidFill>
              </a:rPr>
              <a:t>Program</a:t>
            </a:r>
          </a:p>
        </c:rich>
      </c:tx>
      <c:layout>
        <c:manualLayout>
          <c:xMode val="edge"/>
          <c:yMode val="edge"/>
          <c:x val="0.42572359229882806"/>
          <c:y val="0.1487429868670913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PivotTables!$A$10:$A$17</c:f>
              <c:strCache>
                <c:ptCount val="7"/>
                <c:pt idx="0">
                  <c:v>Business Administration</c:v>
                </c:pt>
                <c:pt idx="1">
                  <c:v>Computer Science</c:v>
                </c:pt>
                <c:pt idx="2">
                  <c:v>Data Science</c:v>
                </c:pt>
                <c:pt idx="3">
                  <c:v>Economics</c:v>
                </c:pt>
                <c:pt idx="4">
                  <c:v>Engineering</c:v>
                </c:pt>
                <c:pt idx="5">
                  <c:v>Public Health</c:v>
                </c:pt>
                <c:pt idx="6">
                  <c:v>Unknown</c:v>
                </c:pt>
              </c:strCache>
            </c:strRef>
          </c:cat>
          <c:val>
            <c:numRef>
              <c:f>PivotTables!$B$10:$B$17</c:f>
              <c:numCache>
                <c:formatCode>General</c:formatCode>
                <c:ptCount val="7"/>
                <c:pt idx="0">
                  <c:v>59</c:v>
                </c:pt>
                <c:pt idx="1">
                  <c:v>58</c:v>
                </c:pt>
                <c:pt idx="2">
                  <c:v>58</c:v>
                </c:pt>
                <c:pt idx="3">
                  <c:v>25</c:v>
                </c:pt>
                <c:pt idx="4">
                  <c:v>37</c:v>
                </c:pt>
                <c:pt idx="5">
                  <c:v>42</c:v>
                </c:pt>
                <c:pt idx="6">
                  <c:v>18</c:v>
                </c:pt>
              </c:numCache>
            </c:numRef>
          </c:val>
          <c:extLst>
            <c:ext xmlns:c16="http://schemas.microsoft.com/office/drawing/2014/chart" uri="{C3380CC4-5D6E-409C-BE32-E72D297353CC}">
              <c16:uniqueId val="{00000000-4AC9-4EA0-B41F-214957D9A1E4}"/>
            </c:ext>
          </c:extLst>
        </c:ser>
        <c:dLbls>
          <c:dLblPos val="outEnd"/>
          <c:showLegendKey val="0"/>
          <c:showVal val="1"/>
          <c:showCatName val="0"/>
          <c:showSerName val="0"/>
          <c:showPercent val="0"/>
          <c:showBubbleSize val="0"/>
        </c:dLbls>
        <c:gapWidth val="182"/>
        <c:axId val="1898486287"/>
        <c:axId val="1968773647"/>
      </c:barChart>
      <c:catAx>
        <c:axId val="1898486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773647"/>
        <c:crosses val="autoZero"/>
        <c:auto val="1"/>
        <c:lblAlgn val="ctr"/>
        <c:lblOffset val="100"/>
        <c:noMultiLvlLbl val="0"/>
      </c:catAx>
      <c:valAx>
        <c:axId val="1968773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48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[Book1211.xlsx]PivotTables!PivotTable6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PivotTables!$B$22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PivotTables!$A$23:$A$30</c:f>
              <c:strCache>
                <c:ptCount val="7"/>
                <c:pt idx="0">
                  <c:v>Business Administration</c:v>
                </c:pt>
                <c:pt idx="1">
                  <c:v>Computer Science</c:v>
                </c:pt>
                <c:pt idx="2">
                  <c:v>Data Science</c:v>
                </c:pt>
                <c:pt idx="3">
                  <c:v>Economics</c:v>
                </c:pt>
                <c:pt idx="4">
                  <c:v>Engineering</c:v>
                </c:pt>
                <c:pt idx="5">
                  <c:v>Public Health</c:v>
                </c:pt>
                <c:pt idx="6">
                  <c:v>Unknown</c:v>
                </c:pt>
              </c:strCache>
            </c:strRef>
          </c:cat>
          <c:val>
            <c:numRef>
              <c:f>PivotTables!$B$23:$B$30</c:f>
              <c:numCache>
                <c:formatCode>General</c:formatCode>
                <c:ptCount val="7"/>
                <c:pt idx="0">
                  <c:v>3861.599999999999</c:v>
                </c:pt>
                <c:pt idx="1">
                  <c:v>3938.7000000000016</c:v>
                </c:pt>
                <c:pt idx="2">
                  <c:v>3940.5</c:v>
                </c:pt>
                <c:pt idx="3">
                  <c:v>1626.8000000000002</c:v>
                </c:pt>
                <c:pt idx="4">
                  <c:v>2556.5999999999995</c:v>
                </c:pt>
                <c:pt idx="5">
                  <c:v>2875.4</c:v>
                </c:pt>
                <c:pt idx="6">
                  <c:v>1233.9000000000001</c:v>
                </c:pt>
              </c:numCache>
            </c:numRef>
          </c:val>
          <c:extLst>
            <c:ext xmlns:c16="http://schemas.microsoft.com/office/drawing/2014/chart" uri="{C3380CC4-5D6E-409C-BE32-E72D297353CC}">
              <c16:uniqueId val="{00000000-5EF4-4AC1-9D9B-40203134D748}"/>
            </c:ext>
          </c:extLst>
        </c:ser>
        <c:dLbls>
          <c:showLegendKey val="0"/>
          <c:showVal val="1"/>
          <c:showCatName val="0"/>
          <c:showSerName val="0"/>
          <c:showPercent val="0"/>
          <c:showBubbleSize val="0"/>
        </c:dLbls>
        <c:gapWidth val="150"/>
        <c:shape val="box"/>
        <c:axId val="1968047215"/>
        <c:axId val="1968740527"/>
        <c:axId val="0"/>
      </c:bar3DChart>
      <c:catAx>
        <c:axId val="1968047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740527"/>
        <c:crosses val="autoZero"/>
        <c:auto val="1"/>
        <c:lblAlgn val="ctr"/>
        <c:lblOffset val="100"/>
        <c:noMultiLvlLbl val="0"/>
      </c:catAx>
      <c:valAx>
        <c:axId val="1968740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04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[Book1211.xlsx]PivotTables!PivotTable4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B050"/>
                </a:solidFill>
              </a:rPr>
              <a:t>Academic-Status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PivotTables!$H$8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16B-4955-9802-48DC6A9E165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16B-4955-9802-48DC6A9E165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16B-4955-9802-48DC6A9E16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PivotTables!$G$9:$G$12</c:f>
              <c:strCache>
                <c:ptCount val="3"/>
                <c:pt idx="0">
                  <c:v>At Risk</c:v>
                </c:pt>
                <c:pt idx="1">
                  <c:v>Good Standing</c:v>
                </c:pt>
                <c:pt idx="2">
                  <c:v>Unknown</c:v>
                </c:pt>
              </c:strCache>
            </c:strRef>
          </c:cat>
          <c:val>
            <c:numRef>
              <c:f>PivotTables!$H$9:$H$12</c:f>
              <c:numCache>
                <c:formatCode>General</c:formatCode>
                <c:ptCount val="3"/>
                <c:pt idx="0">
                  <c:v>55</c:v>
                </c:pt>
                <c:pt idx="1">
                  <c:v>220</c:v>
                </c:pt>
                <c:pt idx="2">
                  <c:v>22</c:v>
                </c:pt>
              </c:numCache>
            </c:numRef>
          </c:val>
          <c:extLst>
            <c:ext xmlns:c16="http://schemas.microsoft.com/office/drawing/2014/chart" uri="{C3380CC4-5D6E-409C-BE32-E72D297353CC}">
              <c16:uniqueId val="{00000000-F860-4006-91DC-94921EDEC9D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[Book1211.xlsx]PivotTables!PivotTable7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B050"/>
                </a:solidFill>
              </a:rPr>
              <a:t>Occouding</a:t>
            </a:r>
            <a:r>
              <a:rPr lang="en-US" baseline="0">
                <a:solidFill>
                  <a:srgbClr val="00B050"/>
                </a:solidFill>
              </a:rPr>
              <a:t> to final score</a:t>
            </a:r>
            <a:endParaRPr lang="en-US">
              <a:solidFill>
                <a:srgbClr val="00B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PivotTables!$N$8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PivotTables!$M$9:$M$12</c:f>
              <c:strCache>
                <c:ptCount val="3"/>
                <c:pt idx="0">
                  <c:v>At Risk</c:v>
                </c:pt>
                <c:pt idx="1">
                  <c:v>Good Standing</c:v>
                </c:pt>
                <c:pt idx="2">
                  <c:v>Unknown</c:v>
                </c:pt>
              </c:strCache>
            </c:strRef>
          </c:cat>
          <c:val>
            <c:numRef>
              <c:f>PivotTables!$N$9:$N$12</c:f>
              <c:numCache>
                <c:formatCode>General</c:formatCode>
                <c:ptCount val="3"/>
                <c:pt idx="0">
                  <c:v>55</c:v>
                </c:pt>
                <c:pt idx="1">
                  <c:v>220</c:v>
                </c:pt>
                <c:pt idx="2">
                  <c:v>22</c:v>
                </c:pt>
              </c:numCache>
            </c:numRef>
          </c:val>
          <c:extLst>
            <c:ext xmlns:c16="http://schemas.microsoft.com/office/drawing/2014/chart" uri="{C3380CC4-5D6E-409C-BE32-E72D297353CC}">
              <c16:uniqueId val="{00000000-4BA1-4BDB-916E-B0C276C70790}"/>
            </c:ext>
          </c:extLst>
        </c:ser>
        <c:dLbls>
          <c:showLegendKey val="0"/>
          <c:showVal val="1"/>
          <c:showCatName val="0"/>
          <c:showSerName val="0"/>
          <c:showPercent val="0"/>
          <c:showBubbleSize val="0"/>
        </c:dLbls>
        <c:gapWidth val="150"/>
        <c:shape val="box"/>
        <c:axId val="1964234495"/>
        <c:axId val="1968727567"/>
        <c:axId val="0"/>
      </c:bar3DChart>
      <c:catAx>
        <c:axId val="1964234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727567"/>
        <c:crosses val="autoZero"/>
        <c:auto val="1"/>
        <c:lblAlgn val="ctr"/>
        <c:lblOffset val="100"/>
        <c:noMultiLvlLbl val="0"/>
      </c:catAx>
      <c:valAx>
        <c:axId val="19687275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23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[Book1211.xlsx]dashbord!PivotTable10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dashbord!$B$12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dashbord!$A$13:$A$21</c:f>
              <c:strCache>
                <c:ptCount val="8"/>
                <c:pt idx="0">
                  <c:v>Business Administration</c:v>
                </c:pt>
                <c:pt idx="1">
                  <c:v>Computer Science</c:v>
                </c:pt>
                <c:pt idx="2">
                  <c:v>Data Science</c:v>
                </c:pt>
                <c:pt idx="3">
                  <c:v>Economics</c:v>
                </c:pt>
                <c:pt idx="4">
                  <c:v>Engineering</c:v>
                </c:pt>
                <c:pt idx="5">
                  <c:v>Public Health</c:v>
                </c:pt>
                <c:pt idx="6">
                  <c:v>Unknown</c:v>
                </c:pt>
                <c:pt idx="7">
                  <c:v>(blank)</c:v>
                </c:pt>
              </c:strCache>
            </c:strRef>
          </c:cat>
          <c:val>
            <c:numRef>
              <c:f>dashbord!$B$13:$B$21</c:f>
              <c:numCache>
                <c:formatCode>General</c:formatCode>
                <c:ptCount val="8"/>
                <c:pt idx="0">
                  <c:v>59</c:v>
                </c:pt>
                <c:pt idx="1">
                  <c:v>58</c:v>
                </c:pt>
                <c:pt idx="2">
                  <c:v>58</c:v>
                </c:pt>
                <c:pt idx="3">
                  <c:v>25</c:v>
                </c:pt>
                <c:pt idx="4">
                  <c:v>37</c:v>
                </c:pt>
                <c:pt idx="5">
                  <c:v>42</c:v>
                </c:pt>
                <c:pt idx="6">
                  <c:v>18</c:v>
                </c:pt>
              </c:numCache>
            </c:numRef>
          </c:val>
          <c:extLst>
            <c:ext xmlns:c16="http://schemas.microsoft.com/office/drawing/2014/chart" uri="{C3380CC4-5D6E-409C-BE32-E72D297353CC}">
              <c16:uniqueId val="{00000000-01CB-43D6-A0B0-18D699A5D7C4}"/>
            </c:ext>
          </c:extLst>
        </c:ser>
        <c:dLbls>
          <c:dLblPos val="outEnd"/>
          <c:showLegendKey val="0"/>
          <c:showVal val="1"/>
          <c:showCatName val="0"/>
          <c:showSerName val="0"/>
          <c:showPercent val="0"/>
          <c:showBubbleSize val="0"/>
        </c:dLbls>
        <c:gapWidth val="219"/>
        <c:overlap val="-27"/>
        <c:axId val="1249910879"/>
        <c:axId val="1341359344"/>
      </c:barChart>
      <c:catAx>
        <c:axId val="124991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359344"/>
        <c:crosses val="autoZero"/>
        <c:auto val="1"/>
        <c:lblAlgn val="ctr"/>
        <c:lblOffset val="100"/>
        <c:noMultiLvlLbl val="0"/>
      </c:catAx>
      <c:valAx>
        <c:axId val="1341359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1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[Book1211.xlsx]dashbord!PivotTable15</c:name>
    <c:fmtId val="0"/>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s>
    <c:plotArea>
      <c:layout>
        <c:manualLayout>
          <c:layoutTarget val="inner"/>
          <c:xMode val="edge"/>
          <c:yMode val="edge"/>
          <c:x val="0.10453295995911281"/>
          <c:y val="0.26328484981044037"/>
          <c:w val="0.45698269387168144"/>
          <c:h val="0.68578922426363376"/>
        </c:manualLayout>
      </c:layout>
      <c:pieChart>
        <c:varyColors val="1"/>
        <c:ser>
          <c:idx val="0"/>
          <c:order val="0"/>
          <c:tx>
            <c:strRef>
              <c:f>dashbord!$F$14</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350-473F-8A9E-4ADA94A6F2F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350-473F-8A9E-4ADA94A6F2F8}"/>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1350-473F-8A9E-4ADA94A6F2F8}"/>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1350-473F-8A9E-4ADA94A6F2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dashbord!$E$15:$E$19</c:f>
              <c:strCache>
                <c:ptCount val="4"/>
                <c:pt idx="0">
                  <c:v>At Risk</c:v>
                </c:pt>
                <c:pt idx="1">
                  <c:v>Good Standing</c:v>
                </c:pt>
                <c:pt idx="2">
                  <c:v>Unknown</c:v>
                </c:pt>
                <c:pt idx="3">
                  <c:v>(blank)</c:v>
                </c:pt>
              </c:strCache>
            </c:strRef>
          </c:cat>
          <c:val>
            <c:numRef>
              <c:f>dashbord!$F$15:$F$19</c:f>
              <c:numCache>
                <c:formatCode>General</c:formatCode>
                <c:ptCount val="4"/>
                <c:pt idx="0">
                  <c:v>55</c:v>
                </c:pt>
                <c:pt idx="1">
                  <c:v>220</c:v>
                </c:pt>
                <c:pt idx="2">
                  <c:v>22</c:v>
                </c:pt>
              </c:numCache>
            </c:numRef>
          </c:val>
          <c:extLst>
            <c:ext xmlns:c16="http://schemas.microsoft.com/office/drawing/2014/chart" uri="{C3380CC4-5D6E-409C-BE32-E72D297353CC}">
              <c16:uniqueId val="{00000000-4D42-4A5C-B32F-751AEF35035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Business Administration</c:v>
              </c:pt>
              <c:pt idx="1">
                <c:v>Computer Science</c:v>
              </c:pt>
              <c:pt idx="2">
                <c:v>Data Science</c:v>
              </c:pt>
              <c:pt idx="3">
                <c:v>Economics</c:v>
              </c:pt>
              <c:pt idx="4">
                <c:v>Engineering</c:v>
              </c:pt>
              <c:pt idx="5">
                <c:v>Public Health</c:v>
              </c:pt>
              <c:pt idx="6">
                <c:v>Unknown</c:v>
              </c:pt>
            </c:strLit>
          </c:cat>
          <c:val>
            <c:numLit>
              <c:formatCode>General</c:formatCode>
              <c:ptCount val="7"/>
              <c:pt idx="0">
                <c:v>59</c:v>
              </c:pt>
              <c:pt idx="1">
                <c:v>58</c:v>
              </c:pt>
              <c:pt idx="2">
                <c:v>58</c:v>
              </c:pt>
              <c:pt idx="3">
                <c:v>25</c:v>
              </c:pt>
              <c:pt idx="4">
                <c:v>37</c:v>
              </c:pt>
              <c:pt idx="5">
                <c:v>42</c:v>
              </c:pt>
              <c:pt idx="6">
                <c:v>18</c:v>
              </c:pt>
            </c:numLit>
          </c:val>
          <c:extLst>
            <c:ext xmlns:c16="http://schemas.microsoft.com/office/drawing/2014/chart" uri="{C3380CC4-5D6E-409C-BE32-E72D297353CC}">
              <c16:uniqueId val="{00000000-5D73-4565-A8A4-38D2FB7816F8}"/>
            </c:ext>
          </c:extLst>
        </c:ser>
        <c:dLbls>
          <c:dLblPos val="ctr"/>
          <c:showLegendKey val="0"/>
          <c:showVal val="1"/>
          <c:showCatName val="0"/>
          <c:showSerName val="0"/>
          <c:showPercent val="0"/>
          <c:showBubbleSize val="0"/>
        </c:dLbls>
        <c:gapWidth val="150"/>
        <c:overlap val="100"/>
        <c:axId val="1562360719"/>
        <c:axId val="1568610639"/>
      </c:barChart>
      <c:catAx>
        <c:axId val="1562360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68610639"/>
        <c:crosses val="autoZero"/>
        <c:auto val="1"/>
        <c:lblAlgn val="ctr"/>
        <c:lblOffset val="100"/>
        <c:noMultiLvlLbl val="0"/>
      </c:catAx>
      <c:valAx>
        <c:axId val="15686106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36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5.xml"/><Relationship Id="rId7" Type="http://schemas.openxmlformats.org/officeDocument/2006/relationships/image" Target="../media/image4.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image" Target="../media/image8.png"/><Relationship Id="rId5" Type="http://schemas.openxmlformats.org/officeDocument/2006/relationships/chart" Target="../charts/chart7.xml"/><Relationship Id="rId10" Type="http://schemas.openxmlformats.org/officeDocument/2006/relationships/image" Target="../media/image7.emf"/><Relationship Id="rId4" Type="http://schemas.openxmlformats.org/officeDocument/2006/relationships/chart" Target="../charts/chart6.xml"/><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31750</xdr:colOff>
      <xdr:row>0</xdr:row>
      <xdr:rowOff>38100</xdr:rowOff>
    </xdr:from>
    <xdr:to>
      <xdr:col>21</xdr:col>
      <xdr:colOff>165100</xdr:colOff>
      <xdr:row>3</xdr:row>
      <xdr:rowOff>57150</xdr:rowOff>
    </xdr:to>
    <xdr:sp macro="" textlink="">
      <xdr:nvSpPr>
        <xdr:cNvPr id="2" name="Rectangle 1">
          <a:extLst>
            <a:ext uri="{FF2B5EF4-FFF2-40B4-BE49-F238E27FC236}">
              <a16:creationId xmlns:a16="http://schemas.microsoft.com/office/drawing/2014/main" id="{532A720B-5EAB-5E49-5EFD-001208FA7207}"/>
            </a:ext>
          </a:extLst>
        </xdr:cNvPr>
        <xdr:cNvSpPr/>
      </xdr:nvSpPr>
      <xdr:spPr>
        <a:xfrm>
          <a:off x="31750" y="38100"/>
          <a:ext cx="11550650" cy="571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t>Students Academic Performance – PivotTables Analysis</a:t>
          </a:r>
        </a:p>
      </xdr:txBody>
    </xdr:sp>
    <xdr:clientData/>
  </xdr:twoCellAnchor>
  <xdr:twoCellAnchor editAs="oneCell">
    <xdr:from>
      <xdr:col>11</xdr:col>
      <xdr:colOff>501317</xdr:colOff>
      <xdr:row>20</xdr:row>
      <xdr:rowOff>23728</xdr:rowOff>
    </xdr:from>
    <xdr:to>
      <xdr:col>13</xdr:col>
      <xdr:colOff>20053</xdr:colOff>
      <xdr:row>33</xdr:row>
      <xdr:rowOff>173789</xdr:rowOff>
    </xdr:to>
    <mc:AlternateContent xmlns:mc="http://schemas.openxmlformats.org/markup-compatibility/2006" xmlns:a14="http://schemas.microsoft.com/office/drawing/2010/main">
      <mc:Choice Requires="a14">
        <xdr:graphicFrame macro="">
          <xdr:nvGraphicFramePr>
            <xdr:cNvPr id="4" name="Program_Clean">
              <a:extLst>
                <a:ext uri="{FF2B5EF4-FFF2-40B4-BE49-F238E27FC236}">
                  <a16:creationId xmlns:a16="http://schemas.microsoft.com/office/drawing/2014/main" id="{AD3AFAFE-D85A-42D0-41FA-7C4C64F6B891}"/>
                </a:ext>
              </a:extLst>
            </xdr:cNvPr>
            <xdr:cNvGraphicFramePr/>
          </xdr:nvGraphicFramePr>
          <xdr:xfrm>
            <a:off x="0" y="0"/>
            <a:ext cx="0" cy="0"/>
          </xdr:xfrm>
          <a:graphic>
            <a:graphicData uri="http://schemas.microsoft.com/office/drawing/2010/slicer">
              <sle:slicer xmlns:sle="http://schemas.microsoft.com/office/drawing/2010/slicer" name="Program_Clean"/>
            </a:graphicData>
          </a:graphic>
        </xdr:graphicFrame>
      </mc:Choice>
      <mc:Fallback xmlns="">
        <xdr:sp macro="" textlink="">
          <xdr:nvSpPr>
            <xdr:cNvPr id="0" name=""/>
            <xdr:cNvSpPr>
              <a:spLocks noTextEdit="1"/>
            </xdr:cNvSpPr>
          </xdr:nvSpPr>
          <xdr:spPr>
            <a:xfrm>
              <a:off x="7767054" y="3766886"/>
              <a:ext cx="1677736" cy="25831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874964</xdr:colOff>
      <xdr:row>20</xdr:row>
      <xdr:rowOff>73526</xdr:rowOff>
    </xdr:from>
    <xdr:to>
      <xdr:col>11</xdr:col>
      <xdr:colOff>333164</xdr:colOff>
      <xdr:row>34</xdr:row>
      <xdr:rowOff>33421</xdr:rowOff>
    </xdr:to>
    <mc:AlternateContent xmlns:mc="http://schemas.openxmlformats.org/markup-compatibility/2006" xmlns:a14="http://schemas.microsoft.com/office/drawing/2010/main">
      <mc:Choice Requires="a14">
        <xdr:graphicFrame macro="">
          <xdr:nvGraphicFramePr>
            <xdr:cNvPr id="6" name="Academic Status 1">
              <a:extLst>
                <a:ext uri="{FF2B5EF4-FFF2-40B4-BE49-F238E27FC236}">
                  <a16:creationId xmlns:a16="http://schemas.microsoft.com/office/drawing/2014/main" id="{340C5E91-42CB-2F64-87D3-88970ACE0B35}"/>
                </a:ext>
              </a:extLst>
            </xdr:cNvPr>
            <xdr:cNvGraphicFramePr/>
          </xdr:nvGraphicFramePr>
          <xdr:xfrm>
            <a:off x="0" y="0"/>
            <a:ext cx="0" cy="0"/>
          </xdr:xfrm>
          <a:graphic>
            <a:graphicData uri="http://schemas.microsoft.com/office/drawing/2010/slicer">
              <sle:slicer xmlns:sle="http://schemas.microsoft.com/office/drawing/2010/slicer" name="Academic Status 1"/>
            </a:graphicData>
          </a:graphic>
        </xdr:graphicFrame>
      </mc:Choice>
      <mc:Fallback xmlns="">
        <xdr:sp macro="" textlink="">
          <xdr:nvSpPr>
            <xdr:cNvPr id="0" name=""/>
            <xdr:cNvSpPr>
              <a:spLocks noTextEdit="1"/>
            </xdr:cNvSpPr>
          </xdr:nvSpPr>
          <xdr:spPr>
            <a:xfrm>
              <a:off x="5868069" y="3816684"/>
              <a:ext cx="1730832" cy="25801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19049</xdr:colOff>
      <xdr:row>5</xdr:row>
      <xdr:rowOff>40106</xdr:rowOff>
    </xdr:from>
    <xdr:to>
      <xdr:col>5</xdr:col>
      <xdr:colOff>280736</xdr:colOff>
      <xdr:row>20</xdr:row>
      <xdr:rowOff>12700</xdr:rowOff>
    </xdr:to>
    <xdr:graphicFrame macro="">
      <xdr:nvGraphicFramePr>
        <xdr:cNvPr id="7" name="Chart 6">
          <a:extLst>
            <a:ext uri="{FF2B5EF4-FFF2-40B4-BE49-F238E27FC236}">
              <a16:creationId xmlns:a16="http://schemas.microsoft.com/office/drawing/2014/main" id="{BB5B25DF-38DD-2EE9-BCD2-312FAE5A9C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13369</xdr:colOff>
      <xdr:row>20</xdr:row>
      <xdr:rowOff>50800</xdr:rowOff>
    </xdr:from>
    <xdr:to>
      <xdr:col>7</xdr:col>
      <xdr:colOff>748632</xdr:colOff>
      <xdr:row>34</xdr:row>
      <xdr:rowOff>100264</xdr:rowOff>
    </xdr:to>
    <xdr:graphicFrame macro="">
      <xdr:nvGraphicFramePr>
        <xdr:cNvPr id="10" name="Chart 9">
          <a:extLst>
            <a:ext uri="{FF2B5EF4-FFF2-40B4-BE49-F238E27FC236}">
              <a16:creationId xmlns:a16="http://schemas.microsoft.com/office/drawing/2014/main" id="{846E6D13-A817-44C7-AD75-D7EF1E39B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304800</xdr:colOff>
      <xdr:row>5</xdr:row>
      <xdr:rowOff>0</xdr:rowOff>
    </xdr:from>
    <xdr:to>
      <xdr:col>11</xdr:col>
      <xdr:colOff>609600</xdr:colOff>
      <xdr:row>19</xdr:row>
      <xdr:rowOff>165100</xdr:rowOff>
    </xdr:to>
    <xdr:graphicFrame macro="">
      <xdr:nvGraphicFramePr>
        <xdr:cNvPr id="11" name="Chart 10">
          <a:extLst>
            <a:ext uri="{FF2B5EF4-FFF2-40B4-BE49-F238E27FC236}">
              <a16:creationId xmlns:a16="http://schemas.microsoft.com/office/drawing/2014/main" id="{D1CDC2B7-32CA-E63C-C901-E24687D8C4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717449</xdr:colOff>
      <xdr:row>5</xdr:row>
      <xdr:rowOff>40105</xdr:rowOff>
    </xdr:from>
    <xdr:to>
      <xdr:col>19</xdr:col>
      <xdr:colOff>314984</xdr:colOff>
      <xdr:row>19</xdr:row>
      <xdr:rowOff>109729</xdr:rowOff>
    </xdr:to>
    <xdr:graphicFrame macro="">
      <xdr:nvGraphicFramePr>
        <xdr:cNvPr id="12" name="Chart 11">
          <a:extLst>
            <a:ext uri="{FF2B5EF4-FFF2-40B4-BE49-F238E27FC236}">
              <a16:creationId xmlns:a16="http://schemas.microsoft.com/office/drawing/2014/main" id="{DE00215E-AC5E-AFCA-9AF9-D12FB8CFE1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180626</xdr:colOff>
      <xdr:row>19</xdr:row>
      <xdr:rowOff>164787</xdr:rowOff>
    </xdr:from>
    <xdr:to>
      <xdr:col>18</xdr:col>
      <xdr:colOff>106947</xdr:colOff>
      <xdr:row>34</xdr:row>
      <xdr:rowOff>65151</xdr:rowOff>
    </xdr:to>
    <mc:AlternateContent xmlns:mc="http://schemas.openxmlformats.org/markup-compatibility/2006" xmlns:a14="http://schemas.microsoft.com/office/drawing/2010/main">
      <mc:Choice Requires="a14">
        <xdr:graphicFrame macro="">
          <xdr:nvGraphicFramePr>
            <xdr:cNvPr id="13" name="Final_Score">
              <a:extLst>
                <a:ext uri="{FF2B5EF4-FFF2-40B4-BE49-F238E27FC236}">
                  <a16:creationId xmlns:a16="http://schemas.microsoft.com/office/drawing/2014/main" id="{8E9DFCFB-AEB6-F7A7-AEB6-7C9A46611B21}"/>
                </a:ext>
              </a:extLst>
            </xdr:cNvPr>
            <xdr:cNvGraphicFramePr/>
          </xdr:nvGraphicFramePr>
          <xdr:xfrm>
            <a:off x="0" y="0"/>
            <a:ext cx="0" cy="0"/>
          </xdr:xfrm>
          <a:graphic>
            <a:graphicData uri="http://schemas.microsoft.com/office/drawing/2010/slicer">
              <sle:slicer xmlns:sle="http://schemas.microsoft.com/office/drawing/2010/slicer" name="Final_Score"/>
            </a:graphicData>
          </a:graphic>
        </xdr:graphicFrame>
      </mc:Choice>
      <mc:Fallback xmlns="">
        <xdr:sp macro="" textlink="">
          <xdr:nvSpPr>
            <xdr:cNvPr id="0" name=""/>
            <xdr:cNvSpPr>
              <a:spLocks noTextEdit="1"/>
            </xdr:cNvSpPr>
          </xdr:nvSpPr>
          <xdr:spPr>
            <a:xfrm>
              <a:off x="9605363" y="3720787"/>
              <a:ext cx="2392795" cy="27077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0</xdr:colOff>
      <xdr:row>36</xdr:row>
      <xdr:rowOff>0</xdr:rowOff>
    </xdr:from>
    <xdr:to>
      <xdr:col>11</xdr:col>
      <xdr:colOff>698500</xdr:colOff>
      <xdr:row>38</xdr:row>
      <xdr:rowOff>165100</xdr:rowOff>
    </xdr:to>
    <xdr:sp macro="" textlink="">
      <xdr:nvSpPr>
        <xdr:cNvPr id="7169" name="Text Box 1">
          <a:extLst>
            <a:ext uri="{FF2B5EF4-FFF2-40B4-BE49-F238E27FC236}">
              <a16:creationId xmlns:a16="http://schemas.microsoft.com/office/drawing/2014/main" id="{39CD150C-8556-8394-8C38-3FC77B6F045D}"/>
            </a:ext>
          </a:extLst>
        </xdr:cNvPr>
        <xdr:cNvSpPr txBox="1">
          <a:spLocks noChangeArrowheads="1"/>
        </xdr:cNvSpPr>
      </xdr:nvSpPr>
      <xdr:spPr bwMode="auto">
        <a:xfrm>
          <a:off x="7283450" y="6629400"/>
          <a:ext cx="698500" cy="533400"/>
        </a:xfrm>
        <a:prstGeom prst="rect">
          <a:avLst/>
        </a:prstGeom>
        <a:solidFill>
          <a:srgbClr val="FFFFFF"/>
        </a:solidFill>
        <a:ln w="9525">
          <a:solidFill>
            <a:srgbClr val="000000"/>
          </a:solidFill>
          <a:miter lim="800000"/>
          <a:headEnd/>
          <a:tailEnd/>
        </a:ln>
      </xdr:spPr>
      <xdr:txBody>
        <a:bodyPr vertOverflow="clip" wrap="square" lIns="36576" tIns="36576" rIns="0" bIns="0" anchor="t" upright="1"/>
        <a:lstStyle/>
        <a:p>
          <a:pPr algn="l" rtl="0">
            <a:defRPr sz="1000"/>
          </a:pPr>
          <a:r>
            <a:rPr lang="en-US" sz="1100" b="0" i="0" u="none" strike="noStrike" baseline="0">
              <a:solidFill>
                <a:srgbClr val="000000"/>
              </a:solidFill>
              <a:latin typeface="Calibri"/>
              <a:ea typeface="Calibri"/>
              <a:cs typeface="Calibri"/>
            </a:rPr>
            <a:t> PivotTables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73269</xdr:colOff>
      <xdr:row>0</xdr:row>
      <xdr:rowOff>60906</xdr:rowOff>
    </xdr:from>
    <xdr:to>
      <xdr:col>13</xdr:col>
      <xdr:colOff>32564</xdr:colOff>
      <xdr:row>4</xdr:row>
      <xdr:rowOff>164602</xdr:rowOff>
    </xdr:to>
    <xdr:sp macro="" textlink="">
      <xdr:nvSpPr>
        <xdr:cNvPr id="2" name="Rectangle: Rounded Corners 1">
          <a:extLst>
            <a:ext uri="{FF2B5EF4-FFF2-40B4-BE49-F238E27FC236}">
              <a16:creationId xmlns:a16="http://schemas.microsoft.com/office/drawing/2014/main" id="{4A7EA4F7-A649-6EC7-BFB3-1CAEAA3FDDB5}"/>
            </a:ext>
          </a:extLst>
        </xdr:cNvPr>
        <xdr:cNvSpPr/>
      </xdr:nvSpPr>
      <xdr:spPr>
        <a:xfrm>
          <a:off x="73269" y="60906"/>
          <a:ext cx="14792244" cy="85267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accent1"/>
              </a:solidFill>
            </a:rPr>
            <a:t>                                                                                                  </a:t>
          </a:r>
          <a:r>
            <a:rPr lang="en-US" sz="3200" baseline="0">
              <a:solidFill>
                <a:schemeClr val="accent1"/>
              </a:solidFill>
            </a:rPr>
            <a:t>students Academic Performance dashbord</a:t>
          </a:r>
          <a:endParaRPr lang="en-US" sz="3200">
            <a:solidFill>
              <a:schemeClr val="accent1"/>
            </a:solidFill>
          </a:endParaRPr>
        </a:p>
      </xdr:txBody>
    </xdr:sp>
    <xdr:clientData/>
  </xdr:twoCellAnchor>
  <xdr:twoCellAnchor editAs="oneCell">
    <xdr:from>
      <xdr:col>0</xdr:col>
      <xdr:colOff>468520</xdr:colOff>
      <xdr:row>0</xdr:row>
      <xdr:rowOff>62120</xdr:rowOff>
    </xdr:from>
    <xdr:to>
      <xdr:col>0</xdr:col>
      <xdr:colOff>1381299</xdr:colOff>
      <xdr:row>5</xdr:row>
      <xdr:rowOff>53562</xdr:rowOff>
    </xdr:to>
    <xdr:pic>
      <xdr:nvPicPr>
        <xdr:cNvPr id="4" name="Graphic 3" descr="Bar chart with solid fill">
          <a:extLst>
            <a:ext uri="{FF2B5EF4-FFF2-40B4-BE49-F238E27FC236}">
              <a16:creationId xmlns:a16="http://schemas.microsoft.com/office/drawing/2014/main" id="{986CD00F-0725-E9EF-5452-D8FCFE6A0F3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8520" y="62120"/>
          <a:ext cx="912191" cy="923235"/>
        </a:xfrm>
        <a:prstGeom prst="rect">
          <a:avLst/>
        </a:prstGeom>
      </xdr:spPr>
    </xdr:pic>
    <xdr:clientData/>
  </xdr:twoCellAnchor>
  <xdr:twoCellAnchor>
    <xdr:from>
      <xdr:col>0</xdr:col>
      <xdr:colOff>379920</xdr:colOff>
      <xdr:row>5</xdr:row>
      <xdr:rowOff>102092</xdr:rowOff>
    </xdr:from>
    <xdr:to>
      <xdr:col>2</xdr:col>
      <xdr:colOff>409959</xdr:colOff>
      <xdr:row>9</xdr:row>
      <xdr:rowOff>49721</xdr:rowOff>
    </xdr:to>
    <xdr:sp macro="" textlink="">
      <xdr:nvSpPr>
        <xdr:cNvPr id="5" name="Rectangle: Rounded Corners 4">
          <a:extLst>
            <a:ext uri="{FF2B5EF4-FFF2-40B4-BE49-F238E27FC236}">
              <a16:creationId xmlns:a16="http://schemas.microsoft.com/office/drawing/2014/main" id="{38B826C3-D39A-B422-36FD-EE9B9DAB21F6}"/>
            </a:ext>
          </a:extLst>
        </xdr:cNvPr>
        <xdr:cNvSpPr/>
      </xdr:nvSpPr>
      <xdr:spPr>
        <a:xfrm>
          <a:off x="379920" y="1038310"/>
          <a:ext cx="2773565" cy="69660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1">
                  <a:lumMod val="95000"/>
                  <a:lumOff val="5000"/>
                </a:schemeClr>
              </a:solidFill>
            </a:rPr>
            <a:t>              total students</a:t>
          </a:r>
        </a:p>
        <a:p>
          <a:pPr algn="l"/>
          <a:r>
            <a:rPr lang="en-US" sz="1600">
              <a:solidFill>
                <a:schemeClr val="tx1">
                  <a:lumMod val="95000"/>
                  <a:lumOff val="5000"/>
                </a:schemeClr>
              </a:solidFill>
            </a:rPr>
            <a:t>                    </a:t>
          </a:r>
          <a:r>
            <a:rPr lang="en-US" sz="1600">
              <a:solidFill>
                <a:srgbClr val="7D40EC"/>
              </a:solidFill>
            </a:rPr>
            <a:t>297</a:t>
          </a:r>
        </a:p>
      </xdr:txBody>
    </xdr:sp>
    <xdr:clientData/>
  </xdr:twoCellAnchor>
  <xdr:twoCellAnchor>
    <xdr:from>
      <xdr:col>2</xdr:col>
      <xdr:colOff>788864</xdr:colOff>
      <xdr:row>5</xdr:row>
      <xdr:rowOff>127096</xdr:rowOff>
    </xdr:from>
    <xdr:to>
      <xdr:col>5</xdr:col>
      <xdr:colOff>665238</xdr:colOff>
      <xdr:row>9</xdr:row>
      <xdr:rowOff>75082</xdr:rowOff>
    </xdr:to>
    <xdr:sp macro="" textlink="">
      <xdr:nvSpPr>
        <xdr:cNvPr id="6" name="Rectangle: Rounded Corners 5">
          <a:extLst>
            <a:ext uri="{FF2B5EF4-FFF2-40B4-BE49-F238E27FC236}">
              <a16:creationId xmlns:a16="http://schemas.microsoft.com/office/drawing/2014/main" id="{B79DCE55-925E-4803-ABE5-0D5B52169E2E}"/>
            </a:ext>
          </a:extLst>
        </xdr:cNvPr>
        <xdr:cNvSpPr/>
      </xdr:nvSpPr>
      <xdr:spPr>
        <a:xfrm>
          <a:off x="3532971" y="1034239"/>
          <a:ext cx="2673398" cy="6737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tx1">
                  <a:lumMod val="95000"/>
                  <a:lumOff val="5000"/>
                </a:schemeClr>
              </a:solidFill>
            </a:rPr>
            <a:t>                 </a:t>
          </a:r>
          <a:r>
            <a:rPr lang="en-US" sz="1400">
              <a:solidFill>
                <a:schemeClr val="tx1">
                  <a:lumMod val="95000"/>
                  <a:lumOff val="5000"/>
                </a:schemeClr>
              </a:solidFill>
            </a:rPr>
            <a:t>Avarage</a:t>
          </a:r>
          <a:r>
            <a:rPr lang="en-US" sz="1400" baseline="0">
              <a:solidFill>
                <a:schemeClr val="tx1">
                  <a:lumMod val="95000"/>
                  <a:lumOff val="5000"/>
                </a:schemeClr>
              </a:solidFill>
            </a:rPr>
            <a:t> final score</a:t>
          </a:r>
        </a:p>
        <a:p>
          <a:pPr algn="l"/>
          <a:r>
            <a:rPr lang="en-US" sz="1200" baseline="0">
              <a:solidFill>
                <a:schemeClr val="tx1">
                  <a:lumMod val="95000"/>
                  <a:lumOff val="5000"/>
                </a:schemeClr>
              </a:solidFill>
            </a:rPr>
            <a:t>                      </a:t>
          </a:r>
          <a:r>
            <a:rPr lang="en-US" sz="1200" baseline="0">
              <a:solidFill>
                <a:srgbClr val="7D40EC"/>
              </a:solidFill>
            </a:rPr>
            <a:t>71.5439</a:t>
          </a:r>
          <a:endParaRPr lang="en-US" sz="1200">
            <a:solidFill>
              <a:srgbClr val="7D40EC"/>
            </a:solidFill>
          </a:endParaRPr>
        </a:p>
      </xdr:txBody>
    </xdr:sp>
    <xdr:clientData/>
  </xdr:twoCellAnchor>
  <xdr:twoCellAnchor>
    <xdr:from>
      <xdr:col>5</xdr:col>
      <xdr:colOff>1104591</xdr:colOff>
      <xdr:row>5</xdr:row>
      <xdr:rowOff>141388</xdr:rowOff>
    </xdr:from>
    <xdr:to>
      <xdr:col>7</xdr:col>
      <xdr:colOff>1277559</xdr:colOff>
      <xdr:row>9</xdr:row>
      <xdr:rowOff>89729</xdr:rowOff>
    </xdr:to>
    <xdr:sp macro="" textlink="">
      <xdr:nvSpPr>
        <xdr:cNvPr id="7" name="Rectangle: Rounded Corners 6">
          <a:extLst>
            <a:ext uri="{FF2B5EF4-FFF2-40B4-BE49-F238E27FC236}">
              <a16:creationId xmlns:a16="http://schemas.microsoft.com/office/drawing/2014/main" id="{AE7CF831-0C44-432C-94F1-963505FDE643}"/>
            </a:ext>
          </a:extLst>
        </xdr:cNvPr>
        <xdr:cNvSpPr/>
      </xdr:nvSpPr>
      <xdr:spPr>
        <a:xfrm>
          <a:off x="6645722" y="1048531"/>
          <a:ext cx="2735647" cy="67405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lumMod val="95000"/>
                  <a:lumOff val="5000"/>
                </a:schemeClr>
              </a:solidFill>
            </a:rPr>
            <a:t>              Avarge attandance</a:t>
          </a:r>
        </a:p>
        <a:p>
          <a:pPr algn="l"/>
          <a:r>
            <a:rPr lang="en-US" sz="1200">
              <a:solidFill>
                <a:schemeClr val="tx1">
                  <a:lumMod val="95000"/>
                  <a:lumOff val="5000"/>
                </a:schemeClr>
              </a:solidFill>
            </a:rPr>
            <a:t>                       </a:t>
          </a:r>
          <a:r>
            <a:rPr lang="en-US" sz="1200">
              <a:solidFill>
                <a:srgbClr val="7D40EC"/>
              </a:solidFill>
            </a:rPr>
            <a:t>79.3444</a:t>
          </a:r>
        </a:p>
      </xdr:txBody>
    </xdr:sp>
    <xdr:clientData/>
  </xdr:twoCellAnchor>
  <xdr:twoCellAnchor>
    <xdr:from>
      <xdr:col>10</xdr:col>
      <xdr:colOff>40705</xdr:colOff>
      <xdr:row>5</xdr:row>
      <xdr:rowOff>113974</xdr:rowOff>
    </xdr:from>
    <xdr:to>
      <xdr:col>12</xdr:col>
      <xdr:colOff>343809</xdr:colOff>
      <xdr:row>9</xdr:row>
      <xdr:rowOff>73837</xdr:rowOff>
    </xdr:to>
    <xdr:sp macro="" textlink="">
      <xdr:nvSpPr>
        <xdr:cNvPr id="8" name="Rectangle: Rounded Corners 7">
          <a:extLst>
            <a:ext uri="{FF2B5EF4-FFF2-40B4-BE49-F238E27FC236}">
              <a16:creationId xmlns:a16="http://schemas.microsoft.com/office/drawing/2014/main" id="{AA0A1998-FF5E-4268-8CC9-FE2039E990DB}"/>
            </a:ext>
          </a:extLst>
        </xdr:cNvPr>
        <xdr:cNvSpPr/>
      </xdr:nvSpPr>
      <xdr:spPr>
        <a:xfrm>
          <a:off x="12393670" y="1036939"/>
          <a:ext cx="2185953" cy="69823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lumMod val="95000"/>
                  <a:lumOff val="5000"/>
                </a:schemeClr>
              </a:solidFill>
            </a:rPr>
            <a:t>             Arage  At</a:t>
          </a:r>
          <a:r>
            <a:rPr lang="en-US" sz="1400" baseline="0">
              <a:solidFill>
                <a:schemeClr val="tx1">
                  <a:lumMod val="95000"/>
                  <a:lumOff val="5000"/>
                </a:schemeClr>
              </a:solidFill>
            </a:rPr>
            <a:t> Risk</a:t>
          </a:r>
        </a:p>
        <a:p>
          <a:pPr algn="l"/>
          <a:r>
            <a:rPr lang="en-US" sz="1400" baseline="0">
              <a:solidFill>
                <a:schemeClr val="tx1">
                  <a:lumMod val="95000"/>
                  <a:lumOff val="5000"/>
                </a:schemeClr>
              </a:solidFill>
            </a:rPr>
            <a:t>               </a:t>
          </a:r>
          <a:r>
            <a:rPr lang="en-US" sz="1400" baseline="0">
              <a:solidFill>
                <a:srgbClr val="7D40EC"/>
              </a:solidFill>
            </a:rPr>
            <a:t>70.77</a:t>
          </a:r>
          <a:endParaRPr lang="en-US" sz="1400">
            <a:solidFill>
              <a:srgbClr val="7D40EC"/>
            </a:solidFill>
          </a:endParaRPr>
        </a:p>
      </xdr:txBody>
    </xdr:sp>
    <xdr:clientData/>
  </xdr:twoCellAnchor>
  <xdr:twoCellAnchor>
    <xdr:from>
      <xdr:col>8</xdr:col>
      <xdr:colOff>99093</xdr:colOff>
      <xdr:row>5</xdr:row>
      <xdr:rowOff>151192</xdr:rowOff>
    </xdr:from>
    <xdr:to>
      <xdr:col>9</xdr:col>
      <xdr:colOff>1300239</xdr:colOff>
      <xdr:row>9</xdr:row>
      <xdr:rowOff>89552</xdr:rowOff>
    </xdr:to>
    <xdr:sp macro="" textlink="">
      <xdr:nvSpPr>
        <xdr:cNvPr id="9" name="Rectangle: Rounded Corners 8">
          <a:extLst>
            <a:ext uri="{FF2B5EF4-FFF2-40B4-BE49-F238E27FC236}">
              <a16:creationId xmlns:a16="http://schemas.microsoft.com/office/drawing/2014/main" id="{6C394269-1355-4E53-8B69-9EE049323E10}"/>
            </a:ext>
          </a:extLst>
        </xdr:cNvPr>
        <xdr:cNvSpPr/>
      </xdr:nvSpPr>
      <xdr:spPr>
        <a:xfrm>
          <a:off x="9672939" y="1087410"/>
          <a:ext cx="2487428" cy="68733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lumMod val="95000"/>
                  <a:lumOff val="5000"/>
                </a:schemeClr>
              </a:solidFill>
            </a:rPr>
            <a:t>            Avarge Good Standing</a:t>
          </a:r>
        </a:p>
        <a:p>
          <a:pPr algn="l"/>
          <a:r>
            <a:rPr lang="en-US" sz="1400">
              <a:solidFill>
                <a:schemeClr val="tx1">
                  <a:lumMod val="95000"/>
                  <a:lumOff val="5000"/>
                </a:schemeClr>
              </a:solidFill>
            </a:rPr>
            <a:t>                    </a:t>
          </a:r>
          <a:r>
            <a:rPr lang="en-US" sz="1400">
              <a:solidFill>
                <a:srgbClr val="7D40EC"/>
              </a:solidFill>
            </a:rPr>
            <a:t>71.32</a:t>
          </a:r>
        </a:p>
      </xdr:txBody>
    </xdr:sp>
    <xdr:clientData/>
  </xdr:twoCellAnchor>
  <xdr:twoCellAnchor>
    <xdr:from>
      <xdr:col>0</xdr:col>
      <xdr:colOff>40705</xdr:colOff>
      <xdr:row>11</xdr:row>
      <xdr:rowOff>62349</xdr:rowOff>
    </xdr:from>
    <xdr:to>
      <xdr:col>3</xdr:col>
      <xdr:colOff>48845</xdr:colOff>
      <xdr:row>27</xdr:row>
      <xdr:rowOff>8142</xdr:rowOff>
    </xdr:to>
    <xdr:graphicFrame macro="">
      <xdr:nvGraphicFramePr>
        <xdr:cNvPr id="3" name="Chart 2">
          <a:extLst>
            <a:ext uri="{FF2B5EF4-FFF2-40B4-BE49-F238E27FC236}">
              <a16:creationId xmlns:a16="http://schemas.microsoft.com/office/drawing/2014/main" id="{09C7133C-979A-414A-F895-00D31384B9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75941</xdr:colOff>
      <xdr:row>28</xdr:row>
      <xdr:rowOff>154635</xdr:rowOff>
    </xdr:from>
    <xdr:to>
      <xdr:col>2</xdr:col>
      <xdr:colOff>324450</xdr:colOff>
      <xdr:row>36</xdr:row>
      <xdr:rowOff>162820</xdr:rowOff>
    </xdr:to>
    <mc:AlternateContent xmlns:mc="http://schemas.openxmlformats.org/markup-compatibility/2006" xmlns:a14="http://schemas.microsoft.com/office/drawing/2010/main">
      <mc:Choice Requires="a14">
        <xdr:graphicFrame macro="">
          <xdr:nvGraphicFramePr>
            <xdr:cNvPr id="10" name="Program 2">
              <a:extLst>
                <a:ext uri="{FF2B5EF4-FFF2-40B4-BE49-F238E27FC236}">
                  <a16:creationId xmlns:a16="http://schemas.microsoft.com/office/drawing/2014/main" id="{12C7432D-4BAC-E321-35A3-88A4CE9DB979}"/>
                </a:ext>
              </a:extLst>
            </xdr:cNvPr>
            <xdr:cNvGraphicFramePr/>
          </xdr:nvGraphicFramePr>
          <xdr:xfrm>
            <a:off x="0" y="0"/>
            <a:ext cx="0" cy="0"/>
          </xdr:xfrm>
          <a:graphic>
            <a:graphicData uri="http://schemas.microsoft.com/office/drawing/2010/slicer">
              <sle:slicer xmlns:sle="http://schemas.microsoft.com/office/drawing/2010/slicer" name="Program 2"/>
            </a:graphicData>
          </a:graphic>
        </xdr:graphicFrame>
      </mc:Choice>
      <mc:Fallback xmlns="">
        <xdr:sp macro="" textlink="">
          <xdr:nvSpPr>
            <xdr:cNvPr id="0" name=""/>
            <xdr:cNvSpPr>
              <a:spLocks noTextEdit="1"/>
            </xdr:cNvSpPr>
          </xdr:nvSpPr>
          <xdr:spPr>
            <a:xfrm>
              <a:off x="75941" y="5397456"/>
              <a:ext cx="2992035" cy="1506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324100</xdr:colOff>
      <xdr:row>11</xdr:row>
      <xdr:rowOff>32915</xdr:rowOff>
    </xdr:from>
    <xdr:to>
      <xdr:col>7</xdr:col>
      <xdr:colOff>838525</xdr:colOff>
      <xdr:row>27</xdr:row>
      <xdr:rowOff>8141</xdr:rowOff>
    </xdr:to>
    <xdr:graphicFrame macro="">
      <xdr:nvGraphicFramePr>
        <xdr:cNvPr id="11" name="Chart 10">
          <a:extLst>
            <a:ext uri="{FF2B5EF4-FFF2-40B4-BE49-F238E27FC236}">
              <a16:creationId xmlns:a16="http://schemas.microsoft.com/office/drawing/2014/main" id="{4B3F3C5B-1CCB-8F61-ABE3-F79FA99C7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1213013</xdr:colOff>
      <xdr:row>12</xdr:row>
      <xdr:rowOff>24423</xdr:rowOff>
    </xdr:from>
    <xdr:to>
      <xdr:col>12</xdr:col>
      <xdr:colOff>345904</xdr:colOff>
      <xdr:row>26</xdr:row>
      <xdr:rowOff>105834</xdr:rowOff>
    </xdr:to>
    <xdr:graphicFrame macro="">
      <xdr:nvGraphicFramePr>
        <xdr:cNvPr id="12" name="Chart 11">
          <a:extLst>
            <a:ext uri="{FF2B5EF4-FFF2-40B4-BE49-F238E27FC236}">
              <a16:creationId xmlns:a16="http://schemas.microsoft.com/office/drawing/2014/main" id="{9B62ADBF-642C-220E-C22E-7BCC9F813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363113</xdr:colOff>
      <xdr:row>28</xdr:row>
      <xdr:rowOff>140620</xdr:rowOff>
    </xdr:from>
    <xdr:to>
      <xdr:col>6</xdr:col>
      <xdr:colOff>240248</xdr:colOff>
      <xdr:row>37</xdr:row>
      <xdr:rowOff>8140</xdr:rowOff>
    </xdr:to>
    <mc:AlternateContent xmlns:mc="http://schemas.openxmlformats.org/markup-compatibility/2006" xmlns:a14="http://schemas.microsoft.com/office/drawing/2010/main">
      <mc:Choice Requires="a14">
        <xdr:graphicFrame macro="">
          <xdr:nvGraphicFramePr>
            <xdr:cNvPr id="13" name="Attendance_Percent 1">
              <a:extLst>
                <a:ext uri="{FF2B5EF4-FFF2-40B4-BE49-F238E27FC236}">
                  <a16:creationId xmlns:a16="http://schemas.microsoft.com/office/drawing/2014/main" id="{D2B11029-85BB-F288-18E4-BBD12094A39B}"/>
                </a:ext>
              </a:extLst>
            </xdr:cNvPr>
            <xdr:cNvGraphicFramePr/>
          </xdr:nvGraphicFramePr>
          <xdr:xfrm>
            <a:off x="0" y="0"/>
            <a:ext cx="0" cy="0"/>
          </xdr:xfrm>
          <a:graphic>
            <a:graphicData uri="http://schemas.microsoft.com/office/drawing/2010/slicer">
              <sle:slicer xmlns:sle="http://schemas.microsoft.com/office/drawing/2010/slicer" name="Attendance_Percent 1"/>
            </a:graphicData>
          </a:graphic>
        </xdr:graphicFrame>
      </mc:Choice>
      <mc:Fallback xmlns="">
        <xdr:sp macro="" textlink="">
          <xdr:nvSpPr>
            <xdr:cNvPr id="0" name=""/>
            <xdr:cNvSpPr>
              <a:spLocks noTextEdit="1"/>
            </xdr:cNvSpPr>
          </xdr:nvSpPr>
          <xdr:spPr>
            <a:xfrm>
              <a:off x="3106639" y="5383441"/>
              <a:ext cx="3955788" cy="15527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464088</xdr:colOff>
      <xdr:row>28</xdr:row>
      <xdr:rowOff>56985</xdr:rowOff>
    </xdr:from>
    <xdr:to>
      <xdr:col>7</xdr:col>
      <xdr:colOff>1217458</xdr:colOff>
      <xdr:row>37</xdr:row>
      <xdr:rowOff>24422</xdr:rowOff>
    </xdr:to>
    <mc:AlternateContent xmlns:mc="http://schemas.openxmlformats.org/markup-compatibility/2006" xmlns:a14="http://schemas.microsoft.com/office/drawing/2010/main">
      <mc:Choice Requires="a14">
        <xdr:graphicFrame macro="">
          <xdr:nvGraphicFramePr>
            <xdr:cNvPr id="15" name="Academic Status">
              <a:extLst>
                <a:ext uri="{FF2B5EF4-FFF2-40B4-BE49-F238E27FC236}">
                  <a16:creationId xmlns:a16="http://schemas.microsoft.com/office/drawing/2014/main" id="{DC1F33E7-EE85-FCD8-30FA-591B3E433648}"/>
                </a:ext>
              </a:extLst>
            </xdr:cNvPr>
            <xdr:cNvGraphicFramePr/>
          </xdr:nvGraphicFramePr>
          <xdr:xfrm>
            <a:off x="0" y="0"/>
            <a:ext cx="0" cy="0"/>
          </xdr:xfrm>
          <a:graphic>
            <a:graphicData uri="http://schemas.microsoft.com/office/drawing/2010/slicer">
              <sle:slicer xmlns:sle="http://schemas.microsoft.com/office/drawing/2010/slicer" name="Academic Status"/>
            </a:graphicData>
          </a:graphic>
        </xdr:graphicFrame>
      </mc:Choice>
      <mc:Fallback xmlns="">
        <xdr:sp macro="" textlink="">
          <xdr:nvSpPr>
            <xdr:cNvPr id="0" name=""/>
            <xdr:cNvSpPr>
              <a:spLocks noTextEdit="1"/>
            </xdr:cNvSpPr>
          </xdr:nvSpPr>
          <xdr:spPr>
            <a:xfrm>
              <a:off x="7286267" y="5299806"/>
              <a:ext cx="2031512" cy="16526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32564</xdr:colOff>
      <xdr:row>10</xdr:row>
      <xdr:rowOff>146538</xdr:rowOff>
    </xdr:from>
    <xdr:to>
      <xdr:col>3</xdr:col>
      <xdr:colOff>32563</xdr:colOff>
      <xdr:row>12</xdr:row>
      <xdr:rowOff>113974</xdr:rowOff>
    </xdr:to>
    <xdr:sp macro="" textlink="">
      <xdr:nvSpPr>
        <xdr:cNvPr id="14" name="Rectangle 13">
          <a:extLst>
            <a:ext uri="{FF2B5EF4-FFF2-40B4-BE49-F238E27FC236}">
              <a16:creationId xmlns:a16="http://schemas.microsoft.com/office/drawing/2014/main" id="{6516A5CD-04C0-DBE3-63CB-0C9971ACE2ED}"/>
            </a:ext>
          </a:extLst>
        </xdr:cNvPr>
        <xdr:cNvSpPr/>
      </xdr:nvSpPr>
      <xdr:spPr>
        <a:xfrm>
          <a:off x="32564" y="2018974"/>
          <a:ext cx="4013525" cy="341923"/>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rgbClr val="002060"/>
              </a:solidFill>
            </a:rPr>
            <a:t>sstusjsjsjsjsjsjjsaaaaa</a:t>
          </a:r>
          <a:r>
            <a:rPr lang="en-US" sz="1400">
              <a:solidFill>
                <a:schemeClr val="bg2"/>
              </a:solidFill>
            </a:rPr>
            <a:t>students by program</a:t>
          </a:r>
          <a:endParaRPr lang="en-US" sz="1400">
            <a:solidFill>
              <a:srgbClr val="002060"/>
            </a:solidFill>
          </a:endParaRPr>
        </a:p>
      </xdr:txBody>
    </xdr:sp>
    <xdr:clientData/>
  </xdr:twoCellAnchor>
  <xdr:twoCellAnchor>
    <xdr:from>
      <xdr:col>3</xdr:col>
      <xdr:colOff>317501</xdr:colOff>
      <xdr:row>10</xdr:row>
      <xdr:rowOff>154680</xdr:rowOff>
    </xdr:from>
    <xdr:to>
      <xdr:col>7</xdr:col>
      <xdr:colOff>822244</xdr:colOff>
      <xdr:row>12</xdr:row>
      <xdr:rowOff>89551</xdr:rowOff>
    </xdr:to>
    <xdr:sp macro="" textlink="">
      <xdr:nvSpPr>
        <xdr:cNvPr id="16" name="Rectangle 15">
          <a:extLst>
            <a:ext uri="{FF2B5EF4-FFF2-40B4-BE49-F238E27FC236}">
              <a16:creationId xmlns:a16="http://schemas.microsoft.com/office/drawing/2014/main" id="{C7FAFE64-EECC-41A8-92AE-0F2A5E17CEE2}"/>
            </a:ext>
          </a:extLst>
        </xdr:cNvPr>
        <xdr:cNvSpPr/>
      </xdr:nvSpPr>
      <xdr:spPr>
        <a:xfrm>
          <a:off x="4331027" y="2027116"/>
          <a:ext cx="4591538" cy="309358"/>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rgbClr val="002060"/>
              </a:solidFill>
            </a:rPr>
            <a:t>s</a:t>
          </a:r>
          <a:r>
            <a:rPr lang="en-US" sz="1400">
              <a:solidFill>
                <a:schemeClr val="bg1"/>
              </a:solidFill>
            </a:rPr>
            <a:t>Students</a:t>
          </a:r>
          <a:r>
            <a:rPr lang="en-US" sz="1400" baseline="0">
              <a:solidFill>
                <a:schemeClr val="bg1"/>
              </a:solidFill>
            </a:rPr>
            <a:t> by Academic Status</a:t>
          </a:r>
          <a:endParaRPr lang="en-US" sz="1400">
            <a:solidFill>
              <a:srgbClr val="002060"/>
            </a:solidFill>
          </a:endParaRPr>
        </a:p>
      </xdr:txBody>
    </xdr:sp>
    <xdr:clientData/>
  </xdr:twoCellAnchor>
  <xdr:twoCellAnchor>
    <xdr:from>
      <xdr:col>7</xdr:col>
      <xdr:colOff>1180448</xdr:colOff>
      <xdr:row>10</xdr:row>
      <xdr:rowOff>138397</xdr:rowOff>
    </xdr:from>
    <xdr:to>
      <xdr:col>12</xdr:col>
      <xdr:colOff>357623</xdr:colOff>
      <xdr:row>12</xdr:row>
      <xdr:rowOff>56987</xdr:rowOff>
    </xdr:to>
    <xdr:sp macro="" textlink="">
      <xdr:nvSpPr>
        <xdr:cNvPr id="17" name="Rectangle 16">
          <a:extLst>
            <a:ext uri="{FF2B5EF4-FFF2-40B4-BE49-F238E27FC236}">
              <a16:creationId xmlns:a16="http://schemas.microsoft.com/office/drawing/2014/main" id="{A7236F56-6B34-4D14-947D-D42E7BB7D239}"/>
            </a:ext>
          </a:extLst>
        </xdr:cNvPr>
        <xdr:cNvSpPr/>
      </xdr:nvSpPr>
      <xdr:spPr>
        <a:xfrm>
          <a:off x="9280769" y="2010833"/>
          <a:ext cx="5299226" cy="293077"/>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bg2"/>
              </a:solidFill>
            </a:rPr>
            <a:t>Students</a:t>
          </a:r>
          <a:r>
            <a:rPr lang="en-US" sz="1400" baseline="0">
              <a:solidFill>
                <a:schemeClr val="bg2"/>
              </a:solidFill>
            </a:rPr>
            <a:t> by program accouding to final store</a:t>
          </a:r>
          <a:endParaRPr lang="en-US" sz="1400">
            <a:solidFill>
              <a:schemeClr val="bg2"/>
            </a:solidFill>
          </a:endParaRPr>
        </a:p>
      </xdr:txBody>
    </xdr:sp>
    <xdr:clientData/>
  </xdr:twoCellAnchor>
  <xdr:twoCellAnchor>
    <xdr:from>
      <xdr:col>7</xdr:col>
      <xdr:colOff>1392114</xdr:colOff>
      <xdr:row>27</xdr:row>
      <xdr:rowOff>24423</xdr:rowOff>
    </xdr:from>
    <xdr:to>
      <xdr:col>12</xdr:col>
      <xdr:colOff>317499</xdr:colOff>
      <xdr:row>37</xdr:row>
      <xdr:rowOff>24423</xdr:rowOff>
    </xdr:to>
    <xdr:sp macro="" textlink="">
      <xdr:nvSpPr>
        <xdr:cNvPr id="2049" name="Text Box 1">
          <a:extLst>
            <a:ext uri="{FF2B5EF4-FFF2-40B4-BE49-F238E27FC236}">
              <a16:creationId xmlns:a16="http://schemas.microsoft.com/office/drawing/2014/main" id="{E01DEB46-21EB-46C3-E58B-15F298B734C9}"/>
            </a:ext>
          </a:extLst>
        </xdr:cNvPr>
        <xdr:cNvSpPr txBox="1">
          <a:spLocks noChangeArrowheads="1"/>
        </xdr:cNvSpPr>
      </xdr:nvSpPr>
      <xdr:spPr bwMode="auto">
        <a:xfrm>
          <a:off x="9492435" y="5080000"/>
          <a:ext cx="5039295" cy="1872436"/>
        </a:xfrm>
        <a:prstGeom prst="rect">
          <a:avLst/>
        </a:prstGeom>
        <a:solidFill>
          <a:schemeClr val="tx2">
            <a:lumMod val="40000"/>
            <a:lumOff val="60000"/>
          </a:schemeClr>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Calibri"/>
              <a:ea typeface="Calibri"/>
              <a:cs typeface="Calibri"/>
            </a:rPr>
            <a:t>KEY INSIGHTS</a:t>
          </a:r>
        </a:p>
        <a:p>
          <a:pPr algn="l" rtl="0">
            <a:defRPr sz="1000"/>
          </a:pPr>
          <a:r>
            <a:rPr lang="en-US" sz="1100" b="0" i="0" u="none" strike="noStrike" baseline="0">
              <a:solidFill>
                <a:srgbClr val="000000"/>
              </a:solidFill>
              <a:latin typeface="Calibri"/>
              <a:ea typeface="Calibri"/>
              <a:cs typeface="Calibri"/>
            </a:rPr>
            <a:t>Total 297 students in the dataset.</a:t>
          </a:r>
        </a:p>
        <a:p>
          <a:pPr algn="l" rtl="0">
            <a:defRPr sz="1000"/>
          </a:pPr>
          <a:endParaRPr lang="en-US" sz="1100" b="0" i="0" u="none" strike="noStrike" baseline="0">
            <a:solidFill>
              <a:srgbClr val="000000"/>
            </a:solidFill>
            <a:latin typeface="Calibri"/>
            <a:ea typeface="Calibri"/>
            <a:cs typeface="Calibri"/>
          </a:endParaRPr>
        </a:p>
        <a:p>
          <a:pPr algn="l" rtl="0">
            <a:defRPr sz="1000"/>
          </a:pPr>
          <a:r>
            <a:rPr lang="en-US" sz="1100" b="0" i="0" u="none" strike="noStrike" baseline="0">
              <a:solidFill>
                <a:srgbClr val="000000"/>
              </a:solidFill>
              <a:latin typeface="Calibri"/>
              <a:ea typeface="Calibri"/>
              <a:cs typeface="Calibri"/>
            </a:rPr>
            <a:t>Average Final Score is 71.54.</a:t>
          </a:r>
        </a:p>
        <a:p>
          <a:pPr algn="l" rtl="0">
            <a:defRPr sz="1000"/>
          </a:pPr>
          <a:endParaRPr lang="en-US" sz="1100" b="0" i="0" u="none" strike="noStrike" baseline="0">
            <a:solidFill>
              <a:srgbClr val="000000"/>
            </a:solidFill>
            <a:latin typeface="Calibri"/>
            <a:ea typeface="Calibri"/>
            <a:cs typeface="Calibri"/>
          </a:endParaRPr>
        </a:p>
        <a:p>
          <a:pPr algn="l" rtl="0">
            <a:defRPr sz="1000"/>
          </a:pPr>
          <a:r>
            <a:rPr lang="en-US" sz="1100" b="0" i="0" u="none" strike="noStrike" baseline="0">
              <a:solidFill>
                <a:srgbClr val="000000"/>
              </a:solidFill>
              <a:latin typeface="Calibri"/>
              <a:ea typeface="Calibri"/>
              <a:cs typeface="Calibri"/>
            </a:rPr>
            <a:t>Average Attendance is 79.34%.</a:t>
          </a:r>
        </a:p>
        <a:p>
          <a:pPr algn="l" rtl="0">
            <a:defRPr sz="1000"/>
          </a:pPr>
          <a:endParaRPr lang="en-US" sz="1100" b="0" i="0" u="none" strike="noStrike" baseline="0">
            <a:solidFill>
              <a:srgbClr val="000000"/>
            </a:solidFill>
            <a:latin typeface="Calibri"/>
            <a:ea typeface="Calibri"/>
            <a:cs typeface="Calibri"/>
          </a:endParaRPr>
        </a:p>
        <a:p>
          <a:pPr algn="l" rtl="0">
            <a:defRPr sz="1000"/>
          </a:pPr>
          <a:r>
            <a:rPr lang="en-US" sz="1100" b="0" i="0" u="none" strike="noStrike" baseline="0">
              <a:solidFill>
                <a:srgbClr val="000000"/>
              </a:solidFill>
              <a:latin typeface="Calibri"/>
              <a:ea typeface="Calibri"/>
              <a:cs typeface="Calibri"/>
            </a:rPr>
            <a:t>71.32% of students are in Good Standing.</a:t>
          </a:r>
        </a:p>
        <a:p>
          <a:pPr algn="l" rtl="0">
            <a:defRPr sz="1000"/>
          </a:pPr>
          <a:endParaRPr lang="en-US" sz="1100" b="0" i="0" u="none" strike="noStrike" baseline="0">
            <a:solidFill>
              <a:srgbClr val="000000"/>
            </a:solidFill>
            <a:latin typeface="Calibri"/>
            <a:ea typeface="Calibri"/>
            <a:cs typeface="Calibri"/>
          </a:endParaRPr>
        </a:p>
        <a:p>
          <a:pPr algn="l" rtl="0">
            <a:defRPr sz="1000"/>
          </a:pPr>
          <a:r>
            <a:rPr lang="en-US" sz="1100" b="0" i="0" u="none" strike="noStrike" baseline="0">
              <a:solidFill>
                <a:srgbClr val="000000"/>
              </a:solidFill>
              <a:latin typeface="Calibri"/>
              <a:ea typeface="Calibri"/>
              <a:cs typeface="Calibri"/>
            </a:rPr>
            <a:t>70.77% of students are At Risk</a:t>
          </a:r>
        </a:p>
      </xdr:txBody>
    </xdr:sp>
    <xdr:clientData/>
  </xdr:twoCellAnchor>
  <xdr:twoCellAnchor>
    <xdr:from>
      <xdr:col>4</xdr:col>
      <xdr:colOff>0</xdr:colOff>
      <xdr:row>44</xdr:row>
      <xdr:rowOff>0</xdr:rowOff>
    </xdr:from>
    <xdr:to>
      <xdr:col>4</xdr:col>
      <xdr:colOff>571500</xdr:colOff>
      <xdr:row>45</xdr:row>
      <xdr:rowOff>171450</xdr:rowOff>
    </xdr:to>
    <xdr:sp macro="" textlink="">
      <xdr:nvSpPr>
        <xdr:cNvPr id="1025" name="Text Box 1">
          <a:extLst>
            <a:ext uri="{FF2B5EF4-FFF2-40B4-BE49-F238E27FC236}">
              <a16:creationId xmlns:a16="http://schemas.microsoft.com/office/drawing/2014/main" id="{4D4CC5E4-2E7E-DDCA-D626-218B5828763A}"/>
            </a:ext>
          </a:extLst>
        </xdr:cNvPr>
        <xdr:cNvSpPr txBox="1">
          <a:spLocks noChangeArrowheads="1"/>
        </xdr:cNvSpPr>
      </xdr:nvSpPr>
      <xdr:spPr bwMode="auto">
        <a:xfrm>
          <a:off x="4622800" y="8102600"/>
          <a:ext cx="571500" cy="43815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endParaRPr lang="en-US" sz="1100" b="0" i="0" u="none" strike="noStrike" baseline="0">
            <a:solidFill>
              <a:srgbClr val="000000"/>
            </a:solidFill>
            <a:latin typeface="Calibri"/>
            <a:ea typeface="Calibri"/>
            <a:cs typeface="Calibri"/>
          </a:endParaRPr>
        </a:p>
      </xdr:txBody>
    </xdr:sp>
    <xdr:clientData/>
  </xdr:twoCellAnchor>
  <xdr:twoCellAnchor editAs="oneCell">
    <xdr:from>
      <xdr:col>0</xdr:col>
      <xdr:colOff>464038</xdr:colOff>
      <xdr:row>5</xdr:row>
      <xdr:rowOff>9655</xdr:rowOff>
    </xdr:from>
    <xdr:to>
      <xdr:col>0</xdr:col>
      <xdr:colOff>1226038</xdr:colOff>
      <xdr:row>9</xdr:row>
      <xdr:rowOff>35055</xdr:rowOff>
    </xdr:to>
    <xdr:pic>
      <xdr:nvPicPr>
        <xdr:cNvPr id="20" name="Picture 19">
          <a:extLst>
            <a:ext uri="{FF2B5EF4-FFF2-40B4-BE49-F238E27FC236}">
              <a16:creationId xmlns:a16="http://schemas.microsoft.com/office/drawing/2014/main" id="{686C0493-3503-04E6-FADD-1B8063BCA81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64038" y="932620"/>
          <a:ext cx="762000" cy="76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1090780</xdr:colOff>
      <xdr:row>5</xdr:row>
      <xdr:rowOff>65128</xdr:rowOff>
    </xdr:from>
    <xdr:to>
      <xdr:col>6</xdr:col>
      <xdr:colOff>626859</xdr:colOff>
      <xdr:row>9</xdr:row>
      <xdr:rowOff>134273</xdr:rowOff>
    </xdr:to>
    <xdr:pic>
      <xdr:nvPicPr>
        <xdr:cNvPr id="22" name="Picture 21">
          <a:extLst>
            <a:ext uri="{FF2B5EF4-FFF2-40B4-BE49-F238E27FC236}">
              <a16:creationId xmlns:a16="http://schemas.microsoft.com/office/drawing/2014/main" id="{BDE83237-CDDF-906B-8C0E-A1ECCA9025C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642959" y="1001346"/>
          <a:ext cx="806079" cy="8181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48846</xdr:colOff>
      <xdr:row>5</xdr:row>
      <xdr:rowOff>56987</xdr:rowOff>
    </xdr:from>
    <xdr:to>
      <xdr:col>8</xdr:col>
      <xdr:colOff>838526</xdr:colOff>
      <xdr:row>9</xdr:row>
      <xdr:rowOff>97692</xdr:rowOff>
    </xdr:to>
    <xdr:pic>
      <xdr:nvPicPr>
        <xdr:cNvPr id="24" name="Picture 23">
          <a:extLst>
            <a:ext uri="{FF2B5EF4-FFF2-40B4-BE49-F238E27FC236}">
              <a16:creationId xmlns:a16="http://schemas.microsoft.com/office/drawing/2014/main" id="{FCC8D0A6-3811-B130-9C5C-A9B35CAF39D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622692" y="993205"/>
          <a:ext cx="789680" cy="7896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32562</xdr:colOff>
      <xdr:row>5</xdr:row>
      <xdr:rowOff>40706</xdr:rowOff>
    </xdr:from>
    <xdr:to>
      <xdr:col>10</xdr:col>
      <xdr:colOff>794562</xdr:colOff>
      <xdr:row>9</xdr:row>
      <xdr:rowOff>61873</xdr:rowOff>
    </xdr:to>
    <xdr:pic>
      <xdr:nvPicPr>
        <xdr:cNvPr id="25" name="Picture 24">
          <a:extLst>
            <a:ext uri="{FF2B5EF4-FFF2-40B4-BE49-F238E27FC236}">
              <a16:creationId xmlns:a16="http://schemas.microsoft.com/office/drawing/2014/main" id="{2D75195F-CDCF-1A1B-DA15-45CFA066A70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2366216" y="976924"/>
          <a:ext cx="762000" cy="7701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1237435</xdr:colOff>
      <xdr:row>1</xdr:row>
      <xdr:rowOff>40707</xdr:rowOff>
    </xdr:from>
    <xdr:to>
      <xdr:col>12</xdr:col>
      <xdr:colOff>488463</xdr:colOff>
      <xdr:row>3</xdr:row>
      <xdr:rowOff>179104</xdr:rowOff>
    </xdr:to>
    <xdr:sp macro="" textlink="">
      <xdr:nvSpPr>
        <xdr:cNvPr id="29" name="Rectangle 28">
          <a:extLst>
            <a:ext uri="{FF2B5EF4-FFF2-40B4-BE49-F238E27FC236}">
              <a16:creationId xmlns:a16="http://schemas.microsoft.com/office/drawing/2014/main" id="{33DDF432-58A9-6BBB-FF4B-83988F7469FE}"/>
            </a:ext>
          </a:extLst>
        </xdr:cNvPr>
        <xdr:cNvSpPr/>
      </xdr:nvSpPr>
      <xdr:spPr>
        <a:xfrm>
          <a:off x="12097563" y="227951"/>
          <a:ext cx="2605131" cy="51288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aseline="0">
              <a:solidFill>
                <a:schemeClr val="tx1"/>
              </a:solidFill>
            </a:rPr>
            <a:t>                     Date as of</a:t>
          </a:r>
        </a:p>
        <a:p>
          <a:pPr algn="l"/>
          <a:r>
            <a:rPr lang="en-US" sz="1100" baseline="0">
              <a:solidFill>
                <a:schemeClr val="tx1"/>
              </a:solidFill>
            </a:rPr>
            <a:t>                           </a:t>
          </a:r>
          <a:r>
            <a:rPr lang="en-US" sz="1400" baseline="0">
              <a:solidFill>
                <a:schemeClr val="tx1"/>
              </a:solidFill>
            </a:rPr>
            <a:t>8/20/2026</a:t>
          </a:r>
          <a:endParaRPr lang="en-US" sz="1400">
            <a:solidFill>
              <a:schemeClr val="tx1"/>
            </a:solidFill>
          </a:endParaRPr>
        </a:p>
      </xdr:txBody>
    </xdr:sp>
    <xdr:clientData/>
  </xdr:twoCellAnchor>
  <xdr:twoCellAnchor editAs="oneCell">
    <xdr:from>
      <xdr:col>9</xdr:col>
      <xdr:colOff>1302564</xdr:colOff>
      <xdr:row>1</xdr:row>
      <xdr:rowOff>97693</xdr:rowOff>
    </xdr:from>
    <xdr:to>
      <xdr:col>12</xdr:col>
      <xdr:colOff>244230</xdr:colOff>
      <xdr:row>3</xdr:row>
      <xdr:rowOff>146539</xdr:rowOff>
    </xdr:to>
    <xdr:pic>
      <xdr:nvPicPr>
        <xdr:cNvPr id="30" name="Picture 29">
          <a:extLst>
            <a:ext uri="{FF2B5EF4-FFF2-40B4-BE49-F238E27FC236}">
              <a16:creationId xmlns:a16="http://schemas.microsoft.com/office/drawing/2014/main" id="{8A7258F8-AB39-B3D4-B9F7-55F4FB6956A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2162692" y="284937"/>
          <a:ext cx="2295769" cy="423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952501</xdr:colOff>
      <xdr:row>6</xdr:row>
      <xdr:rowOff>0</xdr:rowOff>
    </xdr:from>
    <xdr:to>
      <xdr:col>3</xdr:col>
      <xdr:colOff>120651</xdr:colOff>
      <xdr:row>8</xdr:row>
      <xdr:rowOff>144721</xdr:rowOff>
    </xdr:to>
    <xdr:pic>
      <xdr:nvPicPr>
        <xdr:cNvPr id="18" name="Picture 17">
          <a:extLst>
            <a:ext uri="{FF2B5EF4-FFF2-40B4-BE49-F238E27FC236}">
              <a16:creationId xmlns:a16="http://schemas.microsoft.com/office/drawing/2014/main" id="{001E1FDF-01DA-3C9F-8334-673531B2F4AF}"/>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99245" y="1107558"/>
          <a:ext cx="438150" cy="5139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Practical_Excel_Data_Analytics_Project.xlsx" TargetMode="External"/><Relationship Id="rId2" Type="http://schemas.openxmlformats.org/officeDocument/2006/relationships/externalLinkPath" Target="file:///C:\Users\pc\Downloads\Practical_Excel_Data_Analytics_Project.xlsx" TargetMode="External"/><Relationship Id="rId1" Type="http://schemas.openxmlformats.org/officeDocument/2006/relationships/externalLinkPath" Target="/Users/pc/Downloads/Practical_Excel_Data_Analytics_Project.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Deeqo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oject_Info"/>
      <sheetName val="Raw_Data"/>
      <sheetName val="Clean_Data"/>
      <sheetName val="Analysis"/>
      <sheetName val="PivotTables"/>
      <sheetName val="Dashboard_1"/>
      <sheetName val="Dashboard_2"/>
      <sheetName val="Findings"/>
    </sheetNames>
    <sheetDataSet>
      <sheetData sheetId="0"/>
      <sheetData sheetId="1"/>
      <sheetData sheetId="2">
        <row r="5">
          <cell r="F5"/>
        </row>
        <row r="6">
          <cell r="F6">
            <v>86.7</v>
          </cell>
        </row>
        <row r="7">
          <cell r="F7">
            <v>76.2</v>
          </cell>
        </row>
        <row r="8">
          <cell r="F8">
            <v>85.8</v>
          </cell>
        </row>
        <row r="9">
          <cell r="F9">
            <v>84.7</v>
          </cell>
        </row>
        <row r="10">
          <cell r="F10">
            <v>58</v>
          </cell>
        </row>
        <row r="11">
          <cell r="F11">
            <v>46.4</v>
          </cell>
        </row>
        <row r="12">
          <cell r="F12">
            <v>35.799999999999997</v>
          </cell>
        </row>
        <row r="13">
          <cell r="F13">
            <v>91</v>
          </cell>
        </row>
        <row r="14">
          <cell r="F14">
            <v>93.4</v>
          </cell>
        </row>
        <row r="15">
          <cell r="F15">
            <v>83.8</v>
          </cell>
        </row>
        <row r="16">
          <cell r="F16">
            <v>67</v>
          </cell>
        </row>
        <row r="17">
          <cell r="F17">
            <v>54.1</v>
          </cell>
        </row>
        <row r="18">
          <cell r="F18">
            <v>85.8</v>
          </cell>
        </row>
        <row r="19">
          <cell r="F19">
            <v>69.7</v>
          </cell>
        </row>
        <row r="20">
          <cell r="F20">
            <v>85.6</v>
          </cell>
        </row>
        <row r="21">
          <cell r="F21">
            <v>72.5</v>
          </cell>
        </row>
        <row r="22">
          <cell r="F22">
            <v>57.3</v>
          </cell>
        </row>
        <row r="23">
          <cell r="F23">
            <v>69.099999999999994</v>
          </cell>
        </row>
        <row r="24">
          <cell r="F24">
            <v>91.8</v>
          </cell>
        </row>
        <row r="25">
          <cell r="F25">
            <v>100</v>
          </cell>
        </row>
        <row r="26">
          <cell r="F26">
            <v>97.8</v>
          </cell>
        </row>
        <row r="27">
          <cell r="F27">
            <v>66.2</v>
          </cell>
        </row>
        <row r="28">
          <cell r="F28">
            <v>70.400000000000006</v>
          </cell>
        </row>
        <row r="29">
          <cell r="F29">
            <v>100</v>
          </cell>
        </row>
        <row r="30">
          <cell r="F30">
            <v>68.099999999999994</v>
          </cell>
        </row>
        <row r="31">
          <cell r="F31">
            <v>63</v>
          </cell>
        </row>
        <row r="32">
          <cell r="F32">
            <v>81</v>
          </cell>
        </row>
        <row r="33">
          <cell r="F33"/>
        </row>
        <row r="34">
          <cell r="F34">
            <v>87.7</v>
          </cell>
        </row>
        <row r="35">
          <cell r="F35">
            <v>69.400000000000006</v>
          </cell>
        </row>
        <row r="36">
          <cell r="F36"/>
        </row>
        <row r="37">
          <cell r="F37">
            <v>84.7</v>
          </cell>
        </row>
        <row r="38">
          <cell r="F38">
            <v>67.7</v>
          </cell>
        </row>
        <row r="39">
          <cell r="F39">
            <v>80.099999999999994</v>
          </cell>
        </row>
        <row r="40">
          <cell r="F40">
            <v>52.2</v>
          </cell>
        </row>
        <row r="41">
          <cell r="F41">
            <v>82.9</v>
          </cell>
        </row>
        <row r="42">
          <cell r="F42">
            <v>86.2</v>
          </cell>
        </row>
        <row r="43">
          <cell r="F43">
            <v>62.3</v>
          </cell>
        </row>
        <row r="44">
          <cell r="F44"/>
        </row>
        <row r="45">
          <cell r="F45">
            <v>78.7</v>
          </cell>
        </row>
        <row r="46">
          <cell r="F46">
            <v>78.5</v>
          </cell>
        </row>
        <row r="47">
          <cell r="F47">
            <v>57.9</v>
          </cell>
        </row>
        <row r="48">
          <cell r="F48">
            <v>78.599999999999994</v>
          </cell>
        </row>
        <row r="49">
          <cell r="F49">
            <v>68.2</v>
          </cell>
        </row>
        <row r="50">
          <cell r="F50">
            <v>66.099999999999994</v>
          </cell>
        </row>
        <row r="51">
          <cell r="F51">
            <v>58.1</v>
          </cell>
        </row>
        <row r="52">
          <cell r="F52">
            <v>56.6</v>
          </cell>
        </row>
        <row r="53">
          <cell r="F53">
            <v>72.7</v>
          </cell>
        </row>
        <row r="54">
          <cell r="F54">
            <v>66.599999999999994</v>
          </cell>
        </row>
        <row r="55">
          <cell r="F55">
            <v>38.700000000000003</v>
          </cell>
        </row>
        <row r="56">
          <cell r="F56">
            <v>47.5</v>
          </cell>
        </row>
        <row r="57">
          <cell r="F57"/>
        </row>
        <row r="58">
          <cell r="F58">
            <v>86.6</v>
          </cell>
        </row>
        <row r="59">
          <cell r="F59">
            <v>58.8</v>
          </cell>
        </row>
        <row r="60">
          <cell r="F60">
            <v>63.1</v>
          </cell>
        </row>
        <row r="61">
          <cell r="F61">
            <v>100</v>
          </cell>
        </row>
        <row r="62">
          <cell r="F62">
            <v>89.1</v>
          </cell>
        </row>
        <row r="63">
          <cell r="F63">
            <v>80.7</v>
          </cell>
        </row>
        <row r="64">
          <cell r="F64">
            <v>87.6</v>
          </cell>
        </row>
        <row r="65">
          <cell r="F65">
            <v>50.7</v>
          </cell>
        </row>
        <row r="66">
          <cell r="F66"/>
        </row>
        <row r="67">
          <cell r="F67">
            <v>40.799999999999997</v>
          </cell>
        </row>
        <row r="68">
          <cell r="F68">
            <v>36.799999999999997</v>
          </cell>
        </row>
        <row r="69">
          <cell r="F69">
            <v>75.2</v>
          </cell>
        </row>
        <row r="70">
          <cell r="F70">
            <v>85</v>
          </cell>
        </row>
        <row r="71">
          <cell r="F71">
            <v>58.2</v>
          </cell>
        </row>
        <row r="72">
          <cell r="F72">
            <v>92.9</v>
          </cell>
        </row>
        <row r="73">
          <cell r="F73">
            <v>65.599999999999994</v>
          </cell>
        </row>
        <row r="74">
          <cell r="F74">
            <v>54.6</v>
          </cell>
        </row>
        <row r="75">
          <cell r="F75">
            <v>72.3</v>
          </cell>
        </row>
        <row r="76">
          <cell r="F76">
            <v>63.1</v>
          </cell>
        </row>
        <row r="77">
          <cell r="F77">
            <v>69.400000000000006</v>
          </cell>
        </row>
        <row r="78">
          <cell r="F78"/>
        </row>
        <row r="79">
          <cell r="F79">
            <v>83.6</v>
          </cell>
        </row>
        <row r="80">
          <cell r="F80">
            <v>85.2</v>
          </cell>
        </row>
        <row r="81">
          <cell r="F81">
            <v>87.5</v>
          </cell>
        </row>
        <row r="82">
          <cell r="F82">
            <v>36.700000000000003</v>
          </cell>
        </row>
        <row r="83">
          <cell r="F83">
            <v>48.2</v>
          </cell>
        </row>
        <row r="84">
          <cell r="F84">
            <v>71.2</v>
          </cell>
        </row>
        <row r="85">
          <cell r="F85">
            <v>46.8</v>
          </cell>
        </row>
        <row r="86">
          <cell r="F86">
            <v>31.9</v>
          </cell>
        </row>
        <row r="87">
          <cell r="F87">
            <v>99</v>
          </cell>
        </row>
        <row r="88">
          <cell r="F88">
            <v>33.700000000000003</v>
          </cell>
        </row>
        <row r="89">
          <cell r="F89">
            <v>74.599999999999994</v>
          </cell>
        </row>
        <row r="90">
          <cell r="F90">
            <v>68.5</v>
          </cell>
        </row>
        <row r="91">
          <cell r="F91">
            <v>66.5</v>
          </cell>
        </row>
        <row r="92">
          <cell r="F92">
            <v>76.599999999999994</v>
          </cell>
        </row>
        <row r="93">
          <cell r="F93">
            <v>55.4</v>
          </cell>
        </row>
        <row r="94">
          <cell r="F94">
            <v>49.2</v>
          </cell>
        </row>
        <row r="95">
          <cell r="F95">
            <v>52.2</v>
          </cell>
        </row>
        <row r="96">
          <cell r="F96"/>
        </row>
        <row r="97">
          <cell r="F97">
            <v>76.5</v>
          </cell>
        </row>
        <row r="98">
          <cell r="F98">
            <v>42.3</v>
          </cell>
        </row>
        <row r="99">
          <cell r="F99">
            <v>60.2</v>
          </cell>
        </row>
        <row r="100">
          <cell r="F100">
            <v>59.5</v>
          </cell>
        </row>
        <row r="101">
          <cell r="F101">
            <v>83.4</v>
          </cell>
        </row>
        <row r="102">
          <cell r="F102">
            <v>92.1</v>
          </cell>
        </row>
        <row r="103">
          <cell r="F103">
            <v>54.9</v>
          </cell>
        </row>
        <row r="104">
          <cell r="F104">
            <v>61</v>
          </cell>
        </row>
        <row r="105">
          <cell r="F105">
            <v>62</v>
          </cell>
        </row>
        <row r="106">
          <cell r="F106">
            <v>59.1</v>
          </cell>
        </row>
        <row r="107">
          <cell r="F107">
            <v>95.3</v>
          </cell>
        </row>
        <row r="108">
          <cell r="F108">
            <v>77.2</v>
          </cell>
        </row>
        <row r="109">
          <cell r="F109">
            <v>100</v>
          </cell>
        </row>
        <row r="110">
          <cell r="F110">
            <v>86.1</v>
          </cell>
        </row>
        <row r="111">
          <cell r="F111"/>
        </row>
        <row r="112">
          <cell r="F112">
            <v>45.5</v>
          </cell>
        </row>
        <row r="113">
          <cell r="F113">
            <v>93.6</v>
          </cell>
        </row>
        <row r="114">
          <cell r="F114">
            <v>89.8</v>
          </cell>
        </row>
        <row r="115">
          <cell r="F115">
            <v>80.400000000000006</v>
          </cell>
        </row>
        <row r="116">
          <cell r="F116">
            <v>77.2</v>
          </cell>
        </row>
        <row r="117">
          <cell r="F117">
            <v>69.8</v>
          </cell>
        </row>
        <row r="118">
          <cell r="F118">
            <v>71.3</v>
          </cell>
        </row>
        <row r="119">
          <cell r="F119"/>
        </row>
        <row r="120">
          <cell r="F120">
            <v>80.400000000000006</v>
          </cell>
        </row>
        <row r="121">
          <cell r="F121">
            <v>74.400000000000006</v>
          </cell>
        </row>
        <row r="122">
          <cell r="F122">
            <v>75.3</v>
          </cell>
        </row>
        <row r="123">
          <cell r="F123"/>
        </row>
        <row r="124">
          <cell r="F124">
            <v>56.2</v>
          </cell>
        </row>
        <row r="125">
          <cell r="F125">
            <v>87.1</v>
          </cell>
        </row>
        <row r="126">
          <cell r="F126">
            <v>51.8</v>
          </cell>
        </row>
        <row r="127">
          <cell r="F127">
            <v>74.7</v>
          </cell>
        </row>
        <row r="128">
          <cell r="F128">
            <v>100</v>
          </cell>
        </row>
        <row r="129">
          <cell r="F129">
            <v>85.2</v>
          </cell>
        </row>
        <row r="130">
          <cell r="F130">
            <v>54.4</v>
          </cell>
        </row>
        <row r="131">
          <cell r="F131">
            <v>91</v>
          </cell>
        </row>
        <row r="132">
          <cell r="F132">
            <v>74.5</v>
          </cell>
        </row>
        <row r="133">
          <cell r="F133"/>
        </row>
        <row r="134">
          <cell r="F134">
            <v>62.6</v>
          </cell>
        </row>
        <row r="135">
          <cell r="F135">
            <v>50.6</v>
          </cell>
        </row>
        <row r="136">
          <cell r="F136">
            <v>68.5</v>
          </cell>
        </row>
        <row r="137">
          <cell r="F137">
            <v>76</v>
          </cell>
        </row>
        <row r="138">
          <cell r="F138">
            <v>69.3</v>
          </cell>
        </row>
        <row r="139">
          <cell r="F139">
            <v>37.6</v>
          </cell>
        </row>
        <row r="140">
          <cell r="F140">
            <v>60</v>
          </cell>
        </row>
        <row r="141">
          <cell r="F141">
            <v>77.400000000000006</v>
          </cell>
        </row>
        <row r="142">
          <cell r="F142">
            <v>82.6</v>
          </cell>
        </row>
        <row r="143">
          <cell r="F143">
            <v>60.3</v>
          </cell>
        </row>
        <row r="144">
          <cell r="F144">
            <v>87.8</v>
          </cell>
        </row>
        <row r="145">
          <cell r="F145">
            <v>89.4</v>
          </cell>
        </row>
        <row r="146">
          <cell r="F146">
            <v>85</v>
          </cell>
        </row>
        <row r="147">
          <cell r="F147">
            <v>94.9</v>
          </cell>
        </row>
        <row r="148">
          <cell r="F148">
            <v>59.3</v>
          </cell>
        </row>
        <row r="149">
          <cell r="F149">
            <v>45.8</v>
          </cell>
        </row>
        <row r="150">
          <cell r="F150">
            <v>89.8</v>
          </cell>
        </row>
        <row r="151">
          <cell r="F151">
            <v>68.599999999999994</v>
          </cell>
        </row>
        <row r="152">
          <cell r="F152">
            <v>83.7</v>
          </cell>
        </row>
        <row r="153">
          <cell r="F153">
            <v>80.3</v>
          </cell>
        </row>
        <row r="154">
          <cell r="F154">
            <v>84.7</v>
          </cell>
        </row>
        <row r="155">
          <cell r="F155">
            <v>74.2</v>
          </cell>
        </row>
        <row r="156">
          <cell r="F156">
            <v>64.099999999999994</v>
          </cell>
        </row>
        <row r="157">
          <cell r="F157">
            <v>72</v>
          </cell>
        </row>
        <row r="158">
          <cell r="F158">
            <v>61.9</v>
          </cell>
        </row>
        <row r="159">
          <cell r="F159">
            <v>39.200000000000003</v>
          </cell>
        </row>
        <row r="160">
          <cell r="F160">
            <v>57.1</v>
          </cell>
        </row>
        <row r="161">
          <cell r="F161">
            <v>77.599999999999994</v>
          </cell>
        </row>
        <row r="162">
          <cell r="F162">
            <v>85.7</v>
          </cell>
        </row>
        <row r="163">
          <cell r="F163">
            <v>85.3</v>
          </cell>
        </row>
        <row r="164">
          <cell r="F164">
            <v>80.8</v>
          </cell>
        </row>
        <row r="165">
          <cell r="F165">
            <v>87.7</v>
          </cell>
        </row>
        <row r="166">
          <cell r="F166">
            <v>45.5</v>
          </cell>
        </row>
        <row r="167">
          <cell r="F167">
            <v>88.9</v>
          </cell>
        </row>
        <row r="168">
          <cell r="F168">
            <v>71</v>
          </cell>
        </row>
        <row r="169">
          <cell r="F169">
            <v>76.400000000000006</v>
          </cell>
        </row>
        <row r="170">
          <cell r="F170">
            <v>85.4</v>
          </cell>
        </row>
        <row r="171">
          <cell r="F171">
            <v>75.599999999999994</v>
          </cell>
        </row>
        <row r="172">
          <cell r="F172">
            <v>46</v>
          </cell>
        </row>
        <row r="173">
          <cell r="F173">
            <v>67.7</v>
          </cell>
        </row>
        <row r="174">
          <cell r="F174">
            <v>75.2</v>
          </cell>
        </row>
        <row r="175">
          <cell r="F175">
            <v>27.5</v>
          </cell>
        </row>
        <row r="176">
          <cell r="F176">
            <v>37.200000000000003</v>
          </cell>
        </row>
        <row r="177">
          <cell r="F177">
            <v>71.2</v>
          </cell>
        </row>
        <row r="178">
          <cell r="F178">
            <v>68.5</v>
          </cell>
        </row>
        <row r="179">
          <cell r="F179">
            <v>49</v>
          </cell>
        </row>
        <row r="180">
          <cell r="F180"/>
        </row>
        <row r="181">
          <cell r="F181">
            <v>93</v>
          </cell>
        </row>
        <row r="182">
          <cell r="F182">
            <v>98</v>
          </cell>
        </row>
        <row r="183">
          <cell r="F183">
            <v>75.599999999999994</v>
          </cell>
        </row>
        <row r="184">
          <cell r="F184">
            <v>49.6</v>
          </cell>
        </row>
        <row r="185">
          <cell r="F185">
            <v>51.5</v>
          </cell>
        </row>
        <row r="186">
          <cell r="F186">
            <v>53</v>
          </cell>
        </row>
        <row r="187">
          <cell r="F187">
            <v>83</v>
          </cell>
        </row>
        <row r="188">
          <cell r="F188">
            <v>55.7</v>
          </cell>
        </row>
        <row r="189">
          <cell r="F189">
            <v>85.8</v>
          </cell>
        </row>
        <row r="190">
          <cell r="F190">
            <v>73.2</v>
          </cell>
        </row>
        <row r="191">
          <cell r="F191">
            <v>71.2</v>
          </cell>
        </row>
        <row r="192">
          <cell r="F192">
            <v>100</v>
          </cell>
        </row>
        <row r="193">
          <cell r="F193">
            <v>70.2</v>
          </cell>
        </row>
        <row r="194">
          <cell r="F194">
            <v>60.8</v>
          </cell>
        </row>
        <row r="195">
          <cell r="F195">
            <v>64.099999999999994</v>
          </cell>
        </row>
        <row r="196">
          <cell r="F196">
            <v>100</v>
          </cell>
        </row>
        <row r="197">
          <cell r="F197">
            <v>74.599999999999994</v>
          </cell>
        </row>
        <row r="198">
          <cell r="F198">
            <v>89.8</v>
          </cell>
        </row>
        <row r="199">
          <cell r="F199">
            <v>62.7</v>
          </cell>
        </row>
        <row r="200">
          <cell r="F200">
            <v>93.3</v>
          </cell>
        </row>
        <row r="201">
          <cell r="F201">
            <v>55.9</v>
          </cell>
        </row>
        <row r="202">
          <cell r="F202">
            <v>60.7</v>
          </cell>
        </row>
        <row r="203">
          <cell r="F203">
            <v>67.400000000000006</v>
          </cell>
        </row>
        <row r="204">
          <cell r="F204">
            <v>81.400000000000006</v>
          </cell>
        </row>
        <row r="205">
          <cell r="F205">
            <v>64.599999999999994</v>
          </cell>
        </row>
        <row r="206">
          <cell r="F206">
            <v>68</v>
          </cell>
        </row>
        <row r="207">
          <cell r="F207">
            <v>53.3</v>
          </cell>
        </row>
        <row r="208">
          <cell r="F208">
            <v>37.4</v>
          </cell>
        </row>
        <row r="209">
          <cell r="F209">
            <v>71</v>
          </cell>
        </row>
        <row r="210">
          <cell r="F210">
            <v>82.8</v>
          </cell>
        </row>
        <row r="211">
          <cell r="F211">
            <v>65</v>
          </cell>
        </row>
        <row r="212">
          <cell r="F212">
            <v>61.9</v>
          </cell>
        </row>
        <row r="213">
          <cell r="F213">
            <v>89.9</v>
          </cell>
        </row>
        <row r="214">
          <cell r="F214"/>
        </row>
        <row r="215">
          <cell r="F215">
            <v>50.1</v>
          </cell>
        </row>
        <row r="216">
          <cell r="F216">
            <v>70.599999999999994</v>
          </cell>
        </row>
        <row r="217">
          <cell r="F217">
            <v>84.2</v>
          </cell>
        </row>
        <row r="218">
          <cell r="F218">
            <v>49.8</v>
          </cell>
        </row>
        <row r="219">
          <cell r="F219">
            <v>62.2</v>
          </cell>
        </row>
        <row r="220">
          <cell r="F220"/>
        </row>
        <row r="221">
          <cell r="F221">
            <v>89</v>
          </cell>
        </row>
        <row r="222">
          <cell r="F222">
            <v>52.5</v>
          </cell>
        </row>
        <row r="223">
          <cell r="F223">
            <v>96.1</v>
          </cell>
        </row>
        <row r="224">
          <cell r="F224">
            <v>75.7</v>
          </cell>
        </row>
        <row r="225">
          <cell r="F225">
            <v>79</v>
          </cell>
        </row>
        <row r="226">
          <cell r="F226">
            <v>95.9</v>
          </cell>
        </row>
        <row r="227">
          <cell r="F227">
            <v>76.5</v>
          </cell>
        </row>
        <row r="228">
          <cell r="F228">
            <v>88.9</v>
          </cell>
        </row>
        <row r="229">
          <cell r="F229"/>
        </row>
        <row r="230">
          <cell r="F230">
            <v>81.400000000000006</v>
          </cell>
        </row>
        <row r="231">
          <cell r="F231">
            <v>99.8</v>
          </cell>
        </row>
        <row r="232">
          <cell r="F232">
            <v>70.7</v>
          </cell>
        </row>
        <row r="233">
          <cell r="F233">
            <v>76.5</v>
          </cell>
        </row>
        <row r="234">
          <cell r="F234">
            <v>91.3</v>
          </cell>
        </row>
        <row r="235">
          <cell r="F235"/>
        </row>
        <row r="236">
          <cell r="F236">
            <v>55.4</v>
          </cell>
        </row>
        <row r="237">
          <cell r="F237">
            <v>80</v>
          </cell>
        </row>
        <row r="238">
          <cell r="F238">
            <v>62.9</v>
          </cell>
        </row>
        <row r="239">
          <cell r="F239">
            <v>84.6</v>
          </cell>
        </row>
        <row r="240">
          <cell r="F240">
            <v>82.7</v>
          </cell>
        </row>
        <row r="241">
          <cell r="F241">
            <v>61.4</v>
          </cell>
        </row>
        <row r="242">
          <cell r="F242">
            <v>78</v>
          </cell>
        </row>
        <row r="243">
          <cell r="F243">
            <v>67.599999999999994</v>
          </cell>
        </row>
        <row r="244">
          <cell r="F244">
            <v>49.2</v>
          </cell>
        </row>
        <row r="245">
          <cell r="F245">
            <v>50.9</v>
          </cell>
        </row>
        <row r="246">
          <cell r="F246"/>
        </row>
        <row r="247">
          <cell r="F247">
            <v>76.099999999999994</v>
          </cell>
        </row>
        <row r="248">
          <cell r="F248">
            <v>66.8</v>
          </cell>
        </row>
        <row r="249">
          <cell r="F249">
            <v>49.9</v>
          </cell>
        </row>
        <row r="250">
          <cell r="F250">
            <v>56</v>
          </cell>
        </row>
        <row r="251">
          <cell r="F251">
            <v>83.6</v>
          </cell>
        </row>
        <row r="252">
          <cell r="F252">
            <v>77.400000000000006</v>
          </cell>
        </row>
        <row r="253">
          <cell r="F253">
            <v>92.2</v>
          </cell>
        </row>
        <row r="254">
          <cell r="F254"/>
        </row>
        <row r="255">
          <cell r="F255">
            <v>49.2</v>
          </cell>
        </row>
        <row r="256">
          <cell r="F256"/>
        </row>
        <row r="257">
          <cell r="F257">
            <v>66.2</v>
          </cell>
        </row>
        <row r="258">
          <cell r="F258">
            <v>62.3</v>
          </cell>
        </row>
        <row r="259">
          <cell r="F259">
            <v>79.3</v>
          </cell>
        </row>
        <row r="260">
          <cell r="F260">
            <v>98.2</v>
          </cell>
        </row>
        <row r="261">
          <cell r="F261">
            <v>46.5</v>
          </cell>
        </row>
        <row r="262">
          <cell r="F262">
            <v>65.2</v>
          </cell>
        </row>
        <row r="263">
          <cell r="F263">
            <v>90.8</v>
          </cell>
        </row>
        <row r="264">
          <cell r="F264">
            <v>64.2</v>
          </cell>
        </row>
        <row r="265">
          <cell r="F265">
            <v>60.4</v>
          </cell>
        </row>
        <row r="266">
          <cell r="F266">
            <v>49.5</v>
          </cell>
        </row>
        <row r="267">
          <cell r="F267">
            <v>98.9</v>
          </cell>
        </row>
        <row r="268">
          <cell r="F268">
            <v>91.7</v>
          </cell>
        </row>
        <row r="269">
          <cell r="F269">
            <v>65.900000000000006</v>
          </cell>
        </row>
        <row r="270">
          <cell r="F270">
            <v>88.2</v>
          </cell>
        </row>
        <row r="271">
          <cell r="F271">
            <v>58</v>
          </cell>
        </row>
        <row r="272">
          <cell r="F272">
            <v>59.3</v>
          </cell>
        </row>
        <row r="273">
          <cell r="F273">
            <v>83.6</v>
          </cell>
        </row>
        <row r="274">
          <cell r="F274">
            <v>93</v>
          </cell>
        </row>
        <row r="275">
          <cell r="F275">
            <v>34.4</v>
          </cell>
        </row>
        <row r="276">
          <cell r="F276">
            <v>74.099999999999994</v>
          </cell>
        </row>
        <row r="277">
          <cell r="F277">
            <v>62.2</v>
          </cell>
        </row>
        <row r="278">
          <cell r="F278">
            <v>86.8</v>
          </cell>
        </row>
        <row r="279">
          <cell r="F279">
            <v>78.8</v>
          </cell>
        </row>
        <row r="280">
          <cell r="F280">
            <v>94.1</v>
          </cell>
        </row>
        <row r="281">
          <cell r="F281">
            <v>97.7</v>
          </cell>
        </row>
        <row r="282">
          <cell r="F282">
            <v>41.7</v>
          </cell>
        </row>
        <row r="283">
          <cell r="F283">
            <v>58.9</v>
          </cell>
        </row>
        <row r="284">
          <cell r="F284">
            <v>85.4</v>
          </cell>
        </row>
        <row r="285">
          <cell r="F285">
            <v>68.599999999999994</v>
          </cell>
        </row>
        <row r="286">
          <cell r="F286">
            <v>77.599999999999994</v>
          </cell>
        </row>
        <row r="287">
          <cell r="F287">
            <v>75.2</v>
          </cell>
        </row>
        <row r="288">
          <cell r="F288">
            <v>100</v>
          </cell>
        </row>
        <row r="289">
          <cell r="F289">
            <v>77.5</v>
          </cell>
        </row>
        <row r="290">
          <cell r="F290">
            <v>80.099999999999994</v>
          </cell>
        </row>
        <row r="291">
          <cell r="F291">
            <v>35.700000000000003</v>
          </cell>
        </row>
        <row r="292">
          <cell r="F292">
            <v>42</v>
          </cell>
        </row>
        <row r="293">
          <cell r="F293">
            <v>77.5</v>
          </cell>
        </row>
        <row r="294">
          <cell r="F294">
            <v>54.1</v>
          </cell>
        </row>
        <row r="295">
          <cell r="F295">
            <v>67.8</v>
          </cell>
        </row>
        <row r="296">
          <cell r="F296">
            <v>68.2</v>
          </cell>
        </row>
        <row r="297">
          <cell r="F297">
            <v>91.8</v>
          </cell>
        </row>
        <row r="298">
          <cell r="F298">
            <v>73.599999999999994</v>
          </cell>
        </row>
        <row r="299">
          <cell r="F299">
            <v>90.6</v>
          </cell>
        </row>
        <row r="300">
          <cell r="F300"/>
        </row>
        <row r="301">
          <cell r="F301">
            <v>63.1</v>
          </cell>
        </row>
      </sheetData>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eqo1"/>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ma" refreshedDate="46252.480503819446" createdVersion="8" refreshedVersion="8" minRefreshableVersion="3" recordCount="302" xr:uid="{0B00618D-E5C7-418F-914D-CF2D9C965AB6}">
  <cacheSource type="worksheet">
    <worksheetSource ref="A1:K1048576" sheet="Clean_Data"/>
  </cacheSource>
  <cacheFields count="11">
    <cacheField name="Student_ID" numFmtId="0">
      <sharedItems containsBlank="1"/>
    </cacheField>
    <cacheField name="Program" numFmtId="0">
      <sharedItems containsBlank="1"/>
    </cacheField>
    <cacheField name="Attendance_Percent" numFmtId="0">
      <sharedItems containsString="0" containsBlank="1" containsNumber="1" minValue="-5" maxValue="297"/>
    </cacheField>
    <cacheField name="Assignment_Score" numFmtId="0">
      <sharedItems containsBlank="1" containsMixedTypes="1" containsNumber="1" minValue="-10" maxValue="100"/>
    </cacheField>
    <cacheField name="Midterm_Score" numFmtId="0">
      <sharedItems containsString="0" containsBlank="1" containsNumber="1" minValue="-2" maxValue="117"/>
    </cacheField>
    <cacheField name="Final_Score" numFmtId="0">
      <sharedItems containsBlank="1" containsMixedTypes="1" containsNumber="1" minValue="27.5" maxValue="114"/>
    </cacheField>
    <cacheField name="Academic_Status" numFmtId="0">
      <sharedItems containsBlank="1"/>
    </cacheField>
    <cacheField name="Program_Clean" numFmtId="0">
      <sharedItems containsBlank="1"/>
    </cacheField>
    <cacheField name="Academic Status" numFmtId="0">
      <sharedItems containsBlank="1" count="4">
        <s v="Good Standing"/>
        <s v="At Risk"/>
        <s v="Unknown"/>
        <m/>
      </sharedItems>
    </cacheField>
    <cacheField name="Column1" numFmtId="0">
      <sharedItems containsBlank="1"/>
    </cacheField>
    <cacheField name="Column2" numFmtId="0">
      <sharedItems containsBlank="1"/>
    </cacheField>
  </cacheFields>
  <extLst>
    <ext xmlns:x14="http://schemas.microsoft.com/office/spreadsheetml/2009/9/main" uri="{725AE2AE-9491-48be-B2B4-4EB974FC3084}">
      <x14:pivotCacheDefinition pivotCacheId="4689995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ma" refreshedDate="46252.510911805555" createdVersion="8" refreshedVersion="8" minRefreshableVersion="3" recordCount="302" xr:uid="{BC2F9149-696A-4FD4-A31A-91B2B155995C}">
  <cacheSource type="worksheet">
    <worksheetSource ref="A1:I1048576" sheet="Clean_Data"/>
  </cacheSource>
  <cacheFields count="9">
    <cacheField name="Student_ID" numFmtId="0">
      <sharedItems containsBlank="1"/>
    </cacheField>
    <cacheField name="Program" numFmtId="0">
      <sharedItems containsBlank="1" count="8">
        <s v="Computer Science"/>
        <s v="Unknown"/>
        <s v="Economics"/>
        <s v="Data Science"/>
        <s v="Business Administration"/>
        <s v="Public Health"/>
        <s v="Engineering"/>
        <m/>
      </sharedItems>
    </cacheField>
    <cacheField name="Attendance_Percent" numFmtId="0">
      <sharedItems containsString="0" containsBlank="1" containsNumber="1" minValue="-5" maxValue="297"/>
    </cacheField>
    <cacheField name="Assignment_Score" numFmtId="0">
      <sharedItems containsBlank="1" containsMixedTypes="1" containsNumber="1" minValue="-10" maxValue="100"/>
    </cacheField>
    <cacheField name="Midterm_Score" numFmtId="0">
      <sharedItems containsString="0" containsBlank="1" containsNumber="1" minValue="-2" maxValue="117"/>
    </cacheField>
    <cacheField name="Final_Score" numFmtId="0">
      <sharedItems containsBlank="1" containsMixedTypes="1" containsNumber="1" minValue="27.5" maxValue="114"/>
    </cacheField>
    <cacheField name="Academic_Status" numFmtId="0">
      <sharedItems containsBlank="1"/>
    </cacheField>
    <cacheField name="Program_Clean" numFmtId="0">
      <sharedItems containsBlank="1"/>
    </cacheField>
    <cacheField name="Academic Status" numFmtId="0">
      <sharedItems containsBlank="1"/>
    </cacheField>
  </cacheFields>
  <extLst>
    <ext xmlns:x14="http://schemas.microsoft.com/office/spreadsheetml/2009/9/main" uri="{725AE2AE-9491-48be-B2B4-4EB974FC3084}">
      <x14:pivotCacheDefinition pivotCacheId="41847793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ma" refreshedDate="46252.511335416668" createdVersion="8" refreshedVersion="8" minRefreshableVersion="3" recordCount="297" xr:uid="{0DAC81BE-FB91-42EA-9387-AB7A4D765A47}">
  <cacheSource type="worksheet">
    <worksheetSource name="Deeqo1"/>
  </cacheSource>
  <cacheFields count="12">
    <cacheField name="Student_ID" numFmtId="0">
      <sharedItems/>
    </cacheField>
    <cacheField name="Program" numFmtId="0">
      <sharedItems count="10">
        <s v="Computer Science"/>
        <s v="Unknown"/>
        <s v="Economics"/>
        <s v="Data Science"/>
        <s v="Business Administration"/>
        <s v="Public Health"/>
        <s v="Engineering"/>
        <s v="-" u="1"/>
        <s v="CS" u="1"/>
        <s v="PH" u="1"/>
      </sharedItems>
    </cacheField>
    <cacheField name="Attendance_Percent" numFmtId="0">
      <sharedItems containsSemiMixedTypes="0" containsString="0" containsNumber="1" minValue="-5" maxValue="100" count="195">
        <n v="72.3"/>
        <n v="77.900000000000006"/>
        <n v="88.7"/>
        <n v="73.7"/>
        <n v="90.1"/>
        <n v="80.7"/>
        <n v="84.6"/>
        <n v="75.8"/>
        <n v="84.2"/>
        <n v="58.7"/>
        <n v="74"/>
        <n v="67.8"/>
        <n v="82.1"/>
        <n v="92.7"/>
        <n v="74.2"/>
        <n v="63.3"/>
        <n v="100"/>
        <n v="83.7"/>
        <n v="67.900000000000006"/>
        <n v="75.400000000000006"/>
        <n v="79.7"/>
        <n v="78.599999999999994"/>
        <n v="84.8"/>
        <n v="74.599999999999994"/>
        <n v="67.3"/>
        <n v="90.7"/>
        <n v="74.900000000000006"/>
        <n v="73.400000000000006"/>
        <n v="87.2"/>
        <n v="-5"/>
        <n v="70.7"/>
        <n v="63.2"/>
        <n v="63.5"/>
        <n v="68.5"/>
        <n v="73.2"/>
        <n v="74.7"/>
        <n v="65"/>
        <n v="83.9"/>
        <n v="86.9"/>
        <n v="86.7"/>
        <n v="91.5"/>
        <n v="71.8"/>
        <n v="99.9"/>
        <n v="70"/>
        <n v="85.1"/>
        <n v="65.3"/>
        <n v="84.4"/>
        <n v="87.8"/>
        <n v="98.5"/>
        <n v="66.5"/>
        <n v="48.8"/>
        <n v="99.4"/>
        <n v="98.6"/>
        <n v="80.3"/>
        <n v="91.8"/>
        <n v="97.9"/>
        <n v="85.5"/>
        <n v="93.5"/>
        <n v="77.3"/>
        <n v="69.400000000000006"/>
        <n v="84.9"/>
        <n v="62.8"/>
        <n v="83.8"/>
        <n v="92.5"/>
        <n v="93.4"/>
        <n v="77.2"/>
        <n v="59.4"/>
        <n v="-4"/>
        <n v="68.599999999999994"/>
        <n v="83.3"/>
        <n v="91.4"/>
        <n v="94.8"/>
        <n v="83.1"/>
        <n v="98.1"/>
        <n v="81.900000000000006"/>
        <n v="83.4"/>
        <n v="60.5"/>
        <n v="85.4"/>
        <n v="94.2"/>
        <n v="59"/>
        <n v="83.5"/>
        <n v="67"/>
        <n v="78.8"/>
        <n v="82.7"/>
        <n v="60.8"/>
        <n v="70.099999999999994"/>
        <n v="92.4"/>
        <n v="69.900000000000006"/>
        <n v="95"/>
        <n v="89.2"/>
        <n v="70.400000000000006"/>
        <n v="93.3"/>
        <n v="88.3"/>
        <n v="70.900000000000006"/>
        <n v="94"/>
        <n v="89.8"/>
        <n v="76.2"/>
        <n v="66.3"/>
        <n v="88.8"/>
        <n v="65.7"/>
        <n v="93.2"/>
        <n v="84.1"/>
        <n v="80.400000000000006"/>
        <n v="76"/>
        <n v="87.1"/>
        <n v="79.099999999999994"/>
        <n v="82.5"/>
        <n v="96.2"/>
        <n v="96.5"/>
        <n v="72.2"/>
        <n v="57.3"/>
        <n v="61.9"/>
        <n v="90.5"/>
        <n v="75.599999999999994"/>
        <n v="76.599999999999994"/>
        <n v="80"/>
        <n v="58.5"/>
        <n v="79.8"/>
        <n v="85"/>
        <n v="73.099999999999994"/>
        <n v="69.2"/>
        <n v="71.7"/>
        <n v="97.1"/>
        <n v="86.4"/>
        <n v="91.1"/>
        <n v="72.8"/>
        <n v="81.599999999999994"/>
        <n v="96.8"/>
        <n v="90.8"/>
        <n v="97.2"/>
        <n v="57"/>
        <n v="41.3"/>
        <n v="90"/>
        <n v="87.6"/>
        <n v="74.3"/>
        <n v="82.6"/>
        <n v="88.4"/>
        <n v="99.5"/>
        <n v="88"/>
        <n v="69.599999999999994"/>
        <n v="92.2"/>
        <n v="77.7"/>
        <n v="93.7"/>
        <n v="63.9"/>
        <n v="94.1"/>
        <n v="86.6"/>
        <n v="57.2"/>
        <n v="98.3"/>
        <n v="68.900000000000006"/>
        <n v="86"/>
        <n v="65.400000000000006"/>
        <n v="77.8"/>
        <n v="55.2"/>
        <n v="85.8"/>
        <n v="88.9"/>
        <n v="91.7"/>
        <n v="65.2"/>
        <n v="76.099999999999994"/>
        <n v="77.599999999999994"/>
        <n v="78"/>
        <n v="73.599999999999994"/>
        <n v="84.5"/>
        <n v="72.900000000000006"/>
        <n v="88.6"/>
        <n v="97.4"/>
        <n v="82"/>
        <n v="78.3"/>
        <n v="61.5"/>
        <n v="86.2"/>
        <n v="55.6"/>
        <n v="80.900000000000006"/>
        <n v="89.6"/>
        <n v="79.5"/>
        <n v="95.3"/>
        <n v="67.2"/>
        <n v="95.4"/>
        <n v="74.099999999999994"/>
        <n v="96.1"/>
        <n v="95.6"/>
        <n v="96.3"/>
        <n v="72.099999999999994"/>
        <n v="92.8"/>
        <n v="79.900000000000006"/>
        <n v="75.2"/>
        <n v="92"/>
        <n v="90.6"/>
        <n v="45.5"/>
        <n v="62.9"/>
        <n v="96.6"/>
        <n v="81.400000000000006"/>
        <n v="97.7"/>
        <n v="71.900000000000006"/>
        <n v="76.5"/>
        <n v="66.8"/>
        <n v="85.2"/>
      </sharedItems>
    </cacheField>
    <cacheField name="Assignment_Score" numFmtId="0">
      <sharedItems containsMixedTypes="1" containsNumber="1" minValue="-10" maxValue="100" count="208">
        <n v="55.5"/>
        <n v="65.8"/>
        <n v="85.3"/>
        <n v="76.900000000000006"/>
        <n v="69.8"/>
        <n v="71.3"/>
        <n v="79.8"/>
        <n v="61.6"/>
        <n v="61.3"/>
        <n v="49"/>
        <n v="71.8"/>
        <n v="74.099999999999994"/>
        <n v="62.7"/>
        <n v="71.400000000000006"/>
        <n v="89.2"/>
        <n v="71.5"/>
        <n v="58.6"/>
        <n v="91.4"/>
        <n v="73.8"/>
        <n v="86.2"/>
        <n v="65.900000000000006"/>
        <n v="81.599999999999994"/>
        <n v="55"/>
        <n v="55.3"/>
        <n v="77.7"/>
        <n v="68"/>
        <n v="70.400000000000006"/>
        <n v="52.3"/>
        <n v="51.3"/>
        <n v="76.400000000000006"/>
        <n v="57"/>
        <n v="67"/>
        <n v="51.5"/>
        <n v="84.9"/>
        <n v="70.3"/>
        <n v="49.6"/>
        <n v="77.400000000000006"/>
        <n v="75.8"/>
        <n v="64.599999999999994"/>
        <n v="70.599999999999994"/>
        <n v="70.900000000000006"/>
        <n v="53.4"/>
        <n v="78.2"/>
        <n v="92.9"/>
        <n v="82"/>
        <n v="75.099999999999994"/>
        <n v="60.9"/>
        <n v="99.1"/>
        <n v="69.3"/>
        <n v="76.7"/>
        <n v="73.3"/>
        <n v="90.3"/>
        <n v="55.2"/>
        <n v="64.3"/>
        <n v="74.900000000000006"/>
        <n v="56.1"/>
        <n v="77.2"/>
        <n v="80.3"/>
        <n v="72.900000000000006"/>
        <n v="79.3"/>
        <n v="70.2"/>
        <n v="67.400000000000006"/>
        <n v="55.4"/>
        <n v="90.9"/>
        <n v="60.8"/>
        <n v="41.9"/>
        <n v="43.6"/>
        <n v="98.7"/>
        <n v="79.099999999999994"/>
        <n v="83.4"/>
        <n v="77.3"/>
        <n v="65"/>
        <n v="67.3"/>
        <n v="52.8"/>
        <n v="62.9"/>
        <n v="61.4"/>
        <n v="62"/>
        <n v="67.599999999999994"/>
        <n v="60.4"/>
        <n v="44.3"/>
        <n v="87.7"/>
        <n v="89.3"/>
        <n v="64.099999999999994"/>
        <n v="75.900000000000006"/>
        <n v="72.2"/>
        <n v="69.099999999999994"/>
        <n v="79.7"/>
        <n v="99.5"/>
        <n v="100"/>
        <n v="79"/>
        <n v="41.4"/>
        <n v="72.400000000000006"/>
        <n v="91.8"/>
        <n v="87.1"/>
        <n v="85.7"/>
        <n v="62.5"/>
        <n v="66.900000000000006"/>
        <n v="80.099999999999994"/>
        <n v="72.5"/>
        <n v="53.5"/>
        <n v="79.599999999999994"/>
        <n v="81.400000000000006"/>
        <n v="69.400000000000006"/>
        <n v="55.9"/>
        <n v="51.1"/>
        <n v="58.3"/>
        <n v="38.5"/>
        <n v="64.2"/>
        <n v="78.099999999999994"/>
        <n v="71.099999999999994"/>
        <n v="84.6"/>
        <n v="64.7"/>
        <n v="78.400000000000006"/>
        <n v="91"/>
        <n v="37.200000000000003"/>
        <n v="45.1"/>
        <n v="82.5"/>
        <n v="58.7"/>
        <n v="88"/>
        <n v="95.2"/>
        <n v="42.7"/>
        <n v="67.5"/>
        <n v="47.5"/>
        <n v="58.5"/>
        <n v="78"/>
        <n v="75.7"/>
        <n v="53.2"/>
        <n v="74.8"/>
        <n v="81.3"/>
        <n v="74"/>
        <n v="74.2"/>
        <n v="82.2"/>
        <n v="72.7"/>
        <n v="39"/>
        <n v="-10"/>
        <n v="86"/>
        <n v="80"/>
        <n v="74.7"/>
        <n v="81.900000000000006"/>
        <n v="60.3"/>
        <n v="77.099999999999994"/>
        <n v="41"/>
        <n v="92.7"/>
        <n v="94.1"/>
        <n v="76.099999999999994"/>
        <n v="80.599999999999994"/>
        <n v="99.4"/>
        <n v="60.2"/>
        <n v="86.7"/>
        <n v="59.5"/>
        <n v="63.9"/>
        <n v="50.8"/>
        <n v="92.3"/>
        <n v="57.7"/>
        <n v="51.2"/>
        <n v="37.799999999999997"/>
        <n v="86.8"/>
        <n v="23.5"/>
        <n v="88.4"/>
        <n v="68.900000000000006"/>
        <n v="95.1"/>
        <n v="63.1"/>
        <n v="93.9"/>
        <s v="Unknown"/>
        <n v="69.900000000000006"/>
        <n v="77.5"/>
        <n v="54.4"/>
        <n v="84.8"/>
        <n v="63.5"/>
        <n v="78.3"/>
        <n v="62.8"/>
        <n v="52"/>
        <n v="93.7"/>
        <n v="82.8"/>
        <n v="73.599999999999994"/>
        <n v="53.1"/>
        <n v="64.400000000000006"/>
        <n v="78.8"/>
        <n v="87.9"/>
        <n v="96"/>
        <s v="-"/>
        <n v="75.3"/>
        <n v="61.7"/>
        <n v="85.2"/>
        <n v="87.2"/>
        <n v="64.8"/>
        <n v="84"/>
        <n v="80.7"/>
        <n v="62.6"/>
        <n v="70.8"/>
        <n v="52.1"/>
        <n v="97.9"/>
        <n v="52.9"/>
        <n v="-1"/>
        <n v="82.1"/>
        <n v="30.3"/>
        <n v="45.6"/>
        <n v="65.2"/>
        <n v="46.5"/>
        <n v="82.3"/>
        <n v="56.3"/>
        <n v="63.4"/>
        <n v="79.900000000000006"/>
        <n v="80.5"/>
        <n v="68.8"/>
        <n v="57.2"/>
        <n v="79.2"/>
        <n v="96.6"/>
      </sharedItems>
    </cacheField>
    <cacheField name="Midterm_Score" numFmtId="0">
      <sharedItems containsSemiMixedTypes="0" containsString="0" containsNumber="1" minValue="-2" maxValue="117" count="221">
        <n v="117"/>
        <n v="100"/>
        <n v="99.6"/>
        <n v="97.7"/>
        <n v="97.5"/>
        <n v="96.2"/>
        <n v="96.1"/>
        <n v="95.9"/>
        <n v="95.1"/>
        <n v="94.5"/>
        <n v="93.6"/>
        <n v="93.3"/>
        <n v="92.1"/>
        <n v="91.7"/>
        <n v="91.4"/>
        <n v="91.2"/>
        <n v="90.9"/>
        <n v="90.8"/>
        <n v="89.8"/>
        <n v="89.7"/>
        <n v="89.4"/>
        <n v="88.8"/>
        <n v="88.7"/>
        <n v="88.6"/>
        <n v="88.3"/>
        <n v="88.2"/>
        <n v="87.8"/>
        <n v="87.5"/>
        <n v="87.1"/>
        <n v="86.8"/>
        <n v="86.7"/>
        <n v="86.4"/>
        <n v="86.3"/>
        <n v="86"/>
        <n v="85.9"/>
        <n v="85.6"/>
        <n v="85.5"/>
        <n v="85.4"/>
        <n v="85.2"/>
        <n v="84.7"/>
        <n v="83.8"/>
        <n v="83.5"/>
        <n v="83.2"/>
        <n v="83"/>
        <n v="82.9"/>
        <n v="82.7"/>
        <n v="82.5"/>
        <n v="81.8"/>
        <n v="81.599999999999994"/>
        <n v="81.400000000000006"/>
        <n v="81.099999999999994"/>
        <n v="80.900000000000006"/>
        <n v="80.599999999999994"/>
        <n v="80.400000000000006"/>
        <n v="80"/>
        <n v="79.8"/>
        <n v="79.7"/>
        <n v="79.5"/>
        <n v="79.3"/>
        <n v="79"/>
        <n v="78.7"/>
        <n v="78.599999999999994"/>
        <n v="78.5"/>
        <n v="78.400000000000006"/>
        <n v="78.3"/>
        <n v="78.099999999999994"/>
        <n v="77.900000000000006"/>
        <n v="77.8"/>
        <n v="77.5"/>
        <n v="77"/>
        <n v="76.900000000000006"/>
        <n v="76.8"/>
        <n v="76.599999999999994"/>
        <n v="76.2"/>
        <n v="75.7"/>
        <n v="75.599999999999994"/>
        <n v="75.400000000000006"/>
        <n v="74.8"/>
        <n v="74.7"/>
        <n v="74.2"/>
        <n v="74.099999999999994"/>
        <n v="73.599999999999994"/>
        <n v="73.099999999999994"/>
        <n v="73"/>
        <n v="72.900000000000006"/>
        <n v="72.8"/>
        <n v="72.7"/>
        <n v="72.5"/>
        <n v="72.400000000000006"/>
        <n v="72.2"/>
        <n v="71.900000000000006"/>
        <n v="71.7"/>
        <n v="71.5"/>
        <n v="71.3"/>
        <n v="71.2"/>
        <n v="71"/>
        <n v="70.8"/>
        <n v="70.599999999999994"/>
        <n v="70.5"/>
        <n v="70.400000000000006"/>
        <n v="70.3"/>
        <n v="69.8"/>
        <n v="69.7"/>
        <n v="69.5"/>
        <n v="69"/>
        <n v="68.3"/>
        <n v="68"/>
        <n v="67.900000000000006"/>
        <n v="67.599999999999994"/>
        <n v="67.3"/>
        <n v="67.2"/>
        <n v="67.099999999999994"/>
        <n v="67"/>
        <n v="66.5"/>
        <n v="66.3"/>
        <n v="66.2"/>
        <n v="66.099999999999994"/>
        <n v="66"/>
        <n v="65.900000000000006"/>
        <n v="65.8"/>
        <n v="65.5"/>
        <n v="65.400000000000006"/>
        <n v="65.2"/>
        <n v="65.099999999999994"/>
        <n v="65"/>
        <n v="64.7"/>
        <n v="64.5"/>
        <n v="64.400000000000006"/>
        <n v="64.099999999999994"/>
        <n v="64"/>
        <n v="63.7"/>
        <n v="63.6"/>
        <n v="63.5"/>
        <n v="63.3"/>
        <n v="63"/>
        <n v="62.7"/>
        <n v="62.6"/>
        <n v="62.5"/>
        <n v="62.4"/>
        <n v="62"/>
        <n v="61.9"/>
        <n v="61.7"/>
        <n v="61.3"/>
        <n v="61.2"/>
        <n v="61.1"/>
        <n v="61"/>
        <n v="60.9"/>
        <n v="60.4"/>
        <n v="60.2"/>
        <n v="59.7"/>
        <n v="59.5"/>
        <n v="59.3"/>
        <n v="59.2"/>
        <n v="59.1"/>
        <n v="58.9"/>
        <n v="58.7"/>
        <n v="58.4"/>
        <n v="58.3"/>
        <n v="58.2"/>
        <n v="58.1"/>
        <n v="58"/>
        <n v="57.9"/>
        <n v="57.1"/>
        <n v="56.8"/>
        <n v="56.7"/>
        <n v="56.4"/>
        <n v="56.2"/>
        <n v="56"/>
        <n v="55.4"/>
        <n v="54.8"/>
        <n v="54"/>
        <n v="53.7"/>
        <n v="53.4"/>
        <n v="53.3"/>
        <n v="53.1"/>
        <n v="52.9"/>
        <n v="52.5"/>
        <n v="52.4"/>
        <n v="52"/>
        <n v="51.9"/>
        <n v="51.5"/>
        <n v="51.2"/>
        <n v="51"/>
        <n v="50.7"/>
        <n v="50.1"/>
        <n v="49.9"/>
        <n v="49.8"/>
        <n v="49.7"/>
        <n v="49.5"/>
        <n v="49.3"/>
        <n v="49"/>
        <n v="48.8"/>
        <n v="48.5"/>
        <n v="48.1"/>
        <n v="48"/>
        <n v="47.8"/>
        <n v="47.3"/>
        <n v="46.4"/>
        <n v="45.7"/>
        <n v="45.6"/>
        <n v="44.8"/>
        <n v="44.7"/>
        <n v="44.6"/>
        <n v="44.1"/>
        <n v="43.5"/>
        <n v="43.4"/>
        <n v="43.2"/>
        <n v="42.3"/>
        <n v="41.9"/>
        <n v="40.4"/>
        <n v="39.6"/>
        <n v="38.9"/>
        <n v="38.6"/>
        <n v="33.5"/>
        <n v="33.200000000000003"/>
        <n v="32.9"/>
        <n v="31.2"/>
        <n v="29.6"/>
        <n v="22.2"/>
        <n v="11.4"/>
        <n v="-2"/>
      </sharedItems>
    </cacheField>
    <cacheField name="Final_Score" numFmtId="0">
      <sharedItems containsMixedTypes="1" containsNumber="1" minValue="27.5" maxValue="114" count="220">
        <n v="80"/>
        <n v="91"/>
        <n v="69.400000000000006"/>
        <n v="56.2"/>
        <n v="96.1"/>
        <n v="67.599999999999994"/>
        <n v="64.2"/>
        <n v="91.7"/>
        <n v="77.5"/>
        <n v="55.9"/>
        <n v="58.8"/>
        <n v="100"/>
        <n v="86.2"/>
        <n v="74.099999999999994"/>
        <n v="80.400000000000006"/>
        <n v="82.9"/>
        <n v="93.4"/>
        <n v="86.1"/>
        <n v="62.9"/>
        <n v="74.2"/>
        <n v="70.400000000000006"/>
        <n v="95.9"/>
        <n v="60.8"/>
        <n v="49.6"/>
        <n v="84.6"/>
        <n v="80.7"/>
        <n v="114"/>
        <n v="46.4"/>
        <n v="71.543880000000001"/>
        <n v="76.400000000000006"/>
        <n v="83"/>
        <n v="97.8"/>
        <n v="77.599999999999994"/>
        <n v="78"/>
        <n v="111"/>
        <n v="89.8"/>
        <n v="67"/>
        <n v="63.1"/>
        <n v="54.6"/>
        <n v="87.5"/>
        <n v="71.3"/>
        <n v="72.7"/>
        <n v="54.9"/>
        <n v="59.1"/>
        <n v="67.400000000000006"/>
        <n v="68.2"/>
        <n v="80.099999999999994"/>
        <n v="94.9"/>
        <n v="35.700000000000003"/>
        <n v="81"/>
        <n v="54.1"/>
        <n v="74.599999999999994"/>
        <n v="50.1"/>
        <n v="68.099999999999994"/>
        <n v="37.200000000000003"/>
        <n v="62.2"/>
        <n v="68"/>
        <n v="87.7"/>
        <n v="66.5"/>
        <n v="79.3"/>
        <n v="91.8"/>
        <n v="89.4"/>
        <n v="68.5"/>
        <n v="61.9"/>
        <n v="55.7"/>
        <n v="63"/>
        <n v="52.2"/>
        <n v="85.6"/>
        <n v="67.7"/>
        <n v="85.4"/>
        <n v="62.3"/>
        <n v="77.400000000000006"/>
        <n v="86.6"/>
        <n v="57.1"/>
        <n v="58"/>
        <n v="58.1"/>
        <n v="62"/>
        <n v="72.5"/>
        <n v="75.3"/>
        <n v="76"/>
        <n v="49"/>
        <n v="93.3"/>
        <n v="75.7"/>
        <n v="48.2"/>
        <n v="74.5"/>
        <n v="53"/>
        <n v="41.7"/>
        <n v="68.599999999999994"/>
        <n v="55.4"/>
        <n v="36.700000000000003"/>
        <n v="35.799999999999997"/>
        <n v="95.3"/>
        <n v="59.3"/>
        <n v="82.7"/>
        <n v="73.599999999999994"/>
        <n v="27.5"/>
        <n v="51.5"/>
        <n v="98.2"/>
        <n v="83.7"/>
        <n v="37.4"/>
        <n v="47.5"/>
        <n v="73.2"/>
        <n v="67.8"/>
        <n v="84.7"/>
        <n v="49.9"/>
        <n v="83.4"/>
        <n v="61.4"/>
        <n v="49.2"/>
        <n v="42.3"/>
        <n v="85.2"/>
        <n v="83.6"/>
        <n v="52.5"/>
        <n v="85.8"/>
        <n v="74.7"/>
        <n v="56"/>
        <n v="89.1"/>
        <n v="76.5"/>
        <n v="69.3"/>
        <n v="90.6"/>
        <n v="71.2"/>
        <n v="69.099999999999994"/>
        <n v="50.7"/>
        <n v="84.2"/>
        <n v="64.599999999999994"/>
        <n v="75.2"/>
        <n v="64.099999999999994"/>
        <n v="98"/>
        <n v="69.7"/>
        <n v="93.6"/>
        <n v="89.9"/>
        <n v="66.099999999999994"/>
        <n v="92.9"/>
        <n v="31.9"/>
        <n v="54.4"/>
        <n v="99"/>
        <n v="60"/>
        <n v="62.7"/>
        <n v="75.599999999999994"/>
        <n v="34.4"/>
        <n v="58.9"/>
        <n v="71"/>
        <n v="79"/>
        <n v="60.2"/>
        <n v="81.400000000000006"/>
        <n v="46.8"/>
        <n v="76.099999999999994"/>
        <n v="92.1"/>
        <n v="60.3"/>
        <n v="70.7"/>
        <n v="65"/>
        <n v="97.7"/>
        <n v="58.2"/>
        <n v="46.5"/>
        <n v="65.599999999999994"/>
        <n v="38.700000000000003"/>
        <n v="49.8"/>
        <n v="87.6"/>
        <n v="93"/>
        <n v="78.599999999999994"/>
        <n v="69.8"/>
        <n v="87.8"/>
        <n v="76.599999999999994"/>
        <n v="56.6"/>
        <n v="80.8"/>
        <n v="74.400000000000006"/>
        <n v="88.9"/>
        <n v="33.700000000000003"/>
        <n v="87.1"/>
        <s v="Unknown"/>
        <n v="82.8"/>
        <n v="78.8"/>
        <n v="92.2"/>
        <n v="82.6"/>
        <n v="65.2"/>
        <n v="66.2"/>
        <n v="50.6"/>
        <n v="65.900000000000006"/>
        <n v="91.3"/>
        <n v="72"/>
        <n v="70.2"/>
        <n v="90.8"/>
        <n v="86.7"/>
        <n v="80.3"/>
        <n v="89"/>
        <n v="86.8"/>
        <n v="50.9"/>
        <n v="61"/>
        <n v="66.8"/>
        <n v="40.799999999999997"/>
        <n v="76.2"/>
        <n v="83.8"/>
        <n v="57.3"/>
        <n v="78.7"/>
        <n v="57.9"/>
        <n v="72.3"/>
        <n v="59.5"/>
        <n v="77.2"/>
        <n v="60.7"/>
        <n v="53.3"/>
        <n v="98.9"/>
        <n v="88.2"/>
        <n v="45.8"/>
        <n v="85.7"/>
        <n v="66.599999999999994"/>
        <n v="99.8"/>
        <n v="46"/>
        <n v="39.200000000000003"/>
        <n v="45.5"/>
        <n v="85"/>
        <n v="42"/>
        <n v="70.599999999999994"/>
        <n v="62.6"/>
        <n v="78.5"/>
        <n v="51.8"/>
        <n v="37.6"/>
        <n v="94.1"/>
        <n v="36.799999999999997"/>
        <n v="85.3"/>
        <n v="60.4"/>
        <n v="49.5"/>
      </sharedItems>
    </cacheField>
    <cacheField name="Academic_Status" numFmtId="0">
      <sharedItems count="5">
        <s v="Good Standing"/>
        <s v="At Risk"/>
        <s v="Unknown"/>
        <s v="AR" u="1"/>
        <s v="-" u="1"/>
      </sharedItems>
    </cacheField>
    <cacheField name="Program_Clean" numFmtId="0">
      <sharedItems count="7">
        <s v="Computer Science"/>
        <s v="Unknown"/>
        <s v="Economics"/>
        <s v="Data Science"/>
        <s v="Business Administration"/>
        <s v="Public Health"/>
        <s v="Engineering"/>
      </sharedItems>
    </cacheField>
    <cacheField name="Academic Status" numFmtId="0">
      <sharedItems count="3">
        <s v="Good Standing"/>
        <s v="At Risk"/>
        <s v="Unknown"/>
      </sharedItems>
    </cacheField>
    <cacheField name="Column1" numFmtId="0">
      <sharedItems/>
    </cacheField>
    <cacheField name="Column2" numFmtId="0">
      <sharedItems/>
    </cacheField>
    <cacheField name="Computer Science" numFmtId="0">
      <sharedItems/>
    </cacheField>
  </cacheFields>
  <extLst>
    <ext xmlns:x14="http://schemas.microsoft.com/office/spreadsheetml/2009/9/main" uri="{725AE2AE-9491-48be-B2B4-4EB974FC3084}">
      <x14:pivotCacheDefinition pivotCacheId="10413050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
  <r>
    <s v="STD0192"/>
    <s v="Computer Science"/>
    <n v="72.3"/>
    <n v="55.5"/>
    <n v="117"/>
    <n v="80"/>
    <s v="Good Standing"/>
    <s v="Computer Science"/>
    <x v="0"/>
    <s v="Good Standing"/>
    <s v="Good Standing"/>
  </r>
  <r>
    <s v="STD0160"/>
    <s v="Computer Science"/>
    <n v="77.900000000000006"/>
    <n v="65.8"/>
    <n v="100"/>
    <n v="91"/>
    <s v="Good Standing"/>
    <s v="Computer Science"/>
    <x v="0"/>
    <s v="Good Standing"/>
    <s v="Good Standing"/>
  </r>
  <r>
    <s v="STD0056"/>
    <s v="Unknown"/>
    <n v="88.7"/>
    <n v="85.3"/>
    <n v="100"/>
    <n v="69.400000000000006"/>
    <s v="Good Standing"/>
    <s v="Unknown"/>
    <x v="0"/>
    <s v="Good Standing"/>
    <s v="Good Standing"/>
  </r>
  <r>
    <s v="STD0010"/>
    <s v="Economics"/>
    <n v="73.7"/>
    <n v="76.900000000000006"/>
    <n v="100"/>
    <n v="56.2"/>
    <s v="At Risk"/>
    <s v="Economics"/>
    <x v="1"/>
    <s v="At Risk"/>
    <s v="At Risk"/>
  </r>
  <r>
    <s v="STD0161"/>
    <s v="Data Science"/>
    <n v="90.1"/>
    <n v="69.8"/>
    <n v="100"/>
    <n v="96.1"/>
    <s v="Good Standing"/>
    <s v="Data Science"/>
    <x v="0"/>
    <s v="Good Standing"/>
    <s v="Good Standing"/>
  </r>
  <r>
    <s v="STD0085"/>
    <s v="Computer Science"/>
    <n v="80.7"/>
    <n v="71.3"/>
    <n v="100"/>
    <n v="67.599999999999994"/>
    <s v="Good Standing"/>
    <s v="Computer Science"/>
    <x v="0"/>
    <s v="Good Standing"/>
    <s v="Good Standing"/>
  </r>
  <r>
    <s v="STD0015"/>
    <s v="Data Science"/>
    <n v="84.6"/>
    <n v="79.8"/>
    <n v="100"/>
    <n v="64.2"/>
    <s v="Good Standing"/>
    <s v="Data Science"/>
    <x v="0"/>
    <s v="Good Standing"/>
    <s v="Good Standing"/>
  </r>
  <r>
    <s v="STD0156"/>
    <s v="Business Administration"/>
    <n v="75.8"/>
    <n v="69.8"/>
    <n v="100"/>
    <n v="91.7"/>
    <s v="Good Standing"/>
    <s v="Business Administration"/>
    <x v="0"/>
    <s v="Good Standing"/>
    <s v="Good Standing"/>
  </r>
  <r>
    <s v="STD0140"/>
    <s v="Computer Science"/>
    <n v="84.2"/>
    <n v="61.6"/>
    <n v="100"/>
    <n v="77.5"/>
    <s v="At Risk"/>
    <s v="Computer Science"/>
    <x v="1"/>
    <s v="At Risk"/>
    <s v="At Risk"/>
  </r>
  <r>
    <s v="STD0266"/>
    <s v="Computer Science"/>
    <n v="58.7"/>
    <n v="61.3"/>
    <n v="99.6"/>
    <n v="55.9"/>
    <s v="Good Standing"/>
    <s v="Computer Science"/>
    <x v="0"/>
    <s v="Good Standing"/>
    <s v="Good Standing"/>
  </r>
  <r>
    <s v="STD0050"/>
    <s v="Public Health"/>
    <n v="74"/>
    <n v="49"/>
    <n v="97.7"/>
    <n v="58.8"/>
    <s v="At Risk"/>
    <s v="Public Health"/>
    <x v="1"/>
    <s v="At Risk"/>
    <s v="At Risk"/>
  </r>
  <r>
    <s v="unknow"/>
    <s v="Computer Science"/>
    <n v="67.8"/>
    <n v="71.8"/>
    <n v="97.5"/>
    <n v="100"/>
    <s v="At Risk"/>
    <s v="Computer Science"/>
    <x v="1"/>
    <s v="At Risk"/>
    <s v="At Risk"/>
  </r>
  <r>
    <s v="STD0187"/>
    <s v="Public Health"/>
    <n v="82.1"/>
    <n v="74.099999999999994"/>
    <n v="96.2"/>
    <n v="86.2"/>
    <s v="Unknown"/>
    <s v="Public Health"/>
    <x v="2"/>
    <s v="Unknown"/>
    <s v="Unknown"/>
  </r>
  <r>
    <s v="STD0235"/>
    <s v="Public Health"/>
    <n v="92.7"/>
    <n v="62.7"/>
    <n v="96.1"/>
    <n v="74.099999999999994"/>
    <s v="Good Standing"/>
    <s v="Public Health"/>
    <x v="0"/>
    <s v="Good Standing"/>
    <s v="Good Standing"/>
  </r>
  <r>
    <s v="STD0182"/>
    <s v="Public Health"/>
    <n v="74.2"/>
    <n v="71.400000000000006"/>
    <n v="95.9"/>
    <n v="80.400000000000006"/>
    <s v="Good Standing"/>
    <s v="Public Health"/>
    <x v="0"/>
    <s v="Good Standing"/>
    <s v="Good Standing"/>
  </r>
  <r>
    <s v="STD0186"/>
    <s v="Public Health"/>
    <n v="63.3"/>
    <n v="89.2"/>
    <n v="95.1"/>
    <n v="82.9"/>
    <s v="At Risk"/>
    <s v="Public Health"/>
    <x v="1"/>
    <s v="At Risk"/>
    <s v="At Risk"/>
  </r>
  <r>
    <s v="STD0096"/>
    <s v="Data Science"/>
    <n v="100"/>
    <n v="71.5"/>
    <n v="94.5"/>
    <n v="93.4"/>
    <s v="Good Standing"/>
    <s v="Data Science"/>
    <x v="0"/>
    <s v="Good Standing"/>
    <s v="Good Standing"/>
  </r>
  <r>
    <s v="STD0222"/>
    <s v="Engineering"/>
    <n v="83.7"/>
    <n v="71.400000000000006"/>
    <n v="93.6"/>
    <n v="86.1"/>
    <s v="Good Standing"/>
    <s v="Engineering"/>
    <x v="0"/>
    <s v="Good Standing"/>
    <s v="Good Standing"/>
  </r>
  <r>
    <s v="STD0087"/>
    <s v="Engineering"/>
    <n v="67.900000000000006"/>
    <n v="55.5"/>
    <n v="93.3"/>
    <n v="62.9"/>
    <s v="Good Standing"/>
    <s v="Engineering"/>
    <x v="0"/>
    <s v="Good Standing"/>
    <s v="Good Standing"/>
  </r>
  <r>
    <s v="STD0218"/>
    <s v="Computer Science"/>
    <n v="75.400000000000006"/>
    <n v="58.6"/>
    <n v="92.1"/>
    <n v="74.2"/>
    <s v="Good Standing"/>
    <s v="Computer Science"/>
    <x v="0"/>
    <s v="Good Standing"/>
    <s v="Good Standing"/>
  </r>
  <r>
    <s v="STD0269"/>
    <s v="Business Administration"/>
    <n v="79.7"/>
    <n v="91.4"/>
    <n v="91.7"/>
    <n v="70.400000000000006"/>
    <s v="Good Standing"/>
    <s v="Business Administration"/>
    <x v="0"/>
    <s v="Good Standing"/>
    <s v="Good Standing"/>
  </r>
  <r>
    <s v="STD0248"/>
    <s v="Computer Science"/>
    <n v="78.599999999999994"/>
    <n v="73.8"/>
    <n v="91.4"/>
    <n v="95.9"/>
    <s v="Good Standing"/>
    <s v="Computer Science"/>
    <x v="0"/>
    <s v="Good Standing"/>
    <s v="Good Standing"/>
  </r>
  <r>
    <s v="STD0095"/>
    <s v="Public Health"/>
    <n v="84.8"/>
    <n v="86.2"/>
    <n v="91.2"/>
    <n v="60.8"/>
    <s v="Good Standing"/>
    <s v="Public Health"/>
    <x v="0"/>
    <s v="Good Standing"/>
    <s v="Good Standing"/>
  </r>
  <r>
    <s v="unknow"/>
    <s v="Business Administration"/>
    <n v="74.599999999999994"/>
    <n v="65.900000000000006"/>
    <n v="90.9"/>
    <n v="49.6"/>
    <s v="Good Standing"/>
    <s v="Business Administration"/>
    <x v="0"/>
    <s v="Good Standing"/>
    <s v="Good Standing"/>
  </r>
  <r>
    <s v="STD0129"/>
    <s v="Economics"/>
    <n v="67.3"/>
    <n v="81.599999999999994"/>
    <n v="90.8"/>
    <n v="84.6"/>
    <s v="Good Standing"/>
    <s v="Economics"/>
    <x v="0"/>
    <s v="Good Standing"/>
    <s v="Good Standing"/>
  </r>
  <r>
    <s v="unknow"/>
    <s v="Economics"/>
    <n v="90.7"/>
    <n v="55"/>
    <n v="89.8"/>
    <n v="80.7"/>
    <s v="Good Standing"/>
    <s v="Economics"/>
    <x v="0"/>
    <s v="Good Standing"/>
    <s v="Good Standing"/>
  </r>
  <r>
    <s v="STD0252"/>
    <s v="Public Health"/>
    <n v="74.900000000000006"/>
    <n v="55.3"/>
    <n v="89.7"/>
    <n v="114"/>
    <s v="At Risk"/>
    <s v="Public Health"/>
    <x v="1"/>
    <s v="At Risk"/>
    <s v="At Risk"/>
  </r>
  <r>
    <s v="STD0284"/>
    <s v="Data Science"/>
    <n v="73.400000000000006"/>
    <n v="77.7"/>
    <n v="89.4"/>
    <n v="46.4"/>
    <s v="Good Standing"/>
    <s v="Data Science"/>
    <x v="0"/>
    <s v="Good Standing"/>
    <s v="Good Standing"/>
  </r>
  <r>
    <s v="STD0251"/>
    <s v="Data Science"/>
    <n v="87.2"/>
    <n v="68"/>
    <n v="88.8"/>
    <n v="71.543880000000001"/>
    <s v="Good Standing"/>
    <s v="Data Science"/>
    <x v="0"/>
    <s v="Good Standing"/>
    <s v="Good Standing"/>
  </r>
  <r>
    <s v="STD0126"/>
    <s v="Business Administration"/>
    <n v="-5"/>
    <n v="70.400000000000006"/>
    <n v="88.7"/>
    <n v="76.400000000000006"/>
    <s v="Good Standing"/>
    <s v="Business Administration"/>
    <x v="0"/>
    <s v="Good Standing"/>
    <s v="Good Standing"/>
  </r>
  <r>
    <s v="STD0137"/>
    <s v="Computer Science"/>
    <n v="70.7"/>
    <n v="52.3"/>
    <n v="88.7"/>
    <n v="83"/>
    <s v="At Risk"/>
    <s v="Computer Science"/>
    <x v="1"/>
    <s v="At Risk"/>
    <s v="At Risk"/>
  </r>
  <r>
    <s v="STD0289"/>
    <s v="Data Science"/>
    <n v="63.2"/>
    <n v="51.3"/>
    <n v="88.6"/>
    <n v="97.8"/>
    <s v="Unknown"/>
    <s v="Data Science"/>
    <x v="2"/>
    <s v="Unknown"/>
    <s v="Unknown"/>
  </r>
  <r>
    <s v="STD0173"/>
    <s v="Engineering"/>
    <n v="63.5"/>
    <n v="76.400000000000006"/>
    <n v="88.6"/>
    <n v="71.543880000000001"/>
    <s v="Good Standing"/>
    <s v="Engineering"/>
    <x v="0"/>
    <s v="Good Standing"/>
    <s v="Good Standing"/>
  </r>
  <r>
    <s v="STD0074"/>
    <s v="Unknown"/>
    <n v="68.5"/>
    <n v="57"/>
    <n v="88.3"/>
    <n v="77.599999999999994"/>
    <s v="Good Standing"/>
    <s v="Unknown"/>
    <x v="0"/>
    <s v="Good Standing"/>
    <s v="Good Standing"/>
  </r>
  <r>
    <s v="STD0075"/>
    <s v="Business Administration"/>
    <n v="73.2"/>
    <n v="67"/>
    <n v="88.2"/>
    <n v="78"/>
    <s v="Good Standing"/>
    <s v="Business Administration"/>
    <x v="0"/>
    <s v="Good Standing"/>
    <s v="Good Standing"/>
  </r>
  <r>
    <s v="STD0108"/>
    <s v="Data Science"/>
    <n v="74.7"/>
    <n v="51.5"/>
    <n v="87.8"/>
    <n v="111"/>
    <s v="Good Standing"/>
    <s v="Data Science"/>
    <x v="0"/>
    <s v="Good Standing"/>
    <s v="Good Standing"/>
  </r>
  <r>
    <s v="STD0051"/>
    <s v="Business Administration"/>
    <n v="65"/>
    <n v="84.9"/>
    <n v="87.5"/>
    <n v="89.8"/>
    <s v="Good Standing"/>
    <s v="Business Administration"/>
    <x v="0"/>
    <s v="Good Standing"/>
    <s v="Good Standing"/>
  </r>
  <r>
    <s v="STD0152"/>
    <s v="Engineering"/>
    <n v="70.7"/>
    <n v="70.3"/>
    <n v="87.1"/>
    <n v="77.599999999999994"/>
    <s v="Good Standing"/>
    <s v="Engineering"/>
    <x v="0"/>
    <s v="Good Standing"/>
    <s v="Good Standing"/>
  </r>
  <r>
    <s v="STD0249"/>
    <s v="Data Science"/>
    <n v="83.9"/>
    <n v="49.6"/>
    <n v="86.8"/>
    <n v="67"/>
    <s v="Unknown"/>
    <s v="Data Science"/>
    <x v="2"/>
    <s v="Unknown"/>
    <s v="Unknown"/>
  </r>
  <r>
    <s v="STD0135"/>
    <s v="Computer Science"/>
    <n v="86.9"/>
    <n v="77.400000000000006"/>
    <n v="86.7"/>
    <n v="63.1"/>
    <s v="Good Standing"/>
    <s v="Computer Science"/>
    <x v="0"/>
    <s v="Good Standing"/>
    <s v="Good Standing"/>
  </r>
  <r>
    <s v="STD0138"/>
    <s v="Computer Science"/>
    <n v="86.7"/>
    <n v="69.8"/>
    <n v="86.4"/>
    <n v="54.6"/>
    <s v="At Risk"/>
    <s v="Computer Science"/>
    <x v="1"/>
    <s v="At Risk"/>
    <s v="At Risk"/>
  </r>
  <r>
    <s v="STD0285"/>
    <s v="Engineering"/>
    <n v="91.5"/>
    <n v="75.8"/>
    <n v="86.3"/>
    <n v="87.5"/>
    <s v="Unknown"/>
    <s v="Engineering"/>
    <x v="2"/>
    <s v="Unknown"/>
    <s v="Unknown"/>
  </r>
  <r>
    <s v="STD0170"/>
    <s v="Business Administration"/>
    <n v="71.8"/>
    <n v="64.599999999999994"/>
    <n v="86"/>
    <n v="71.3"/>
    <s v="At Risk"/>
    <s v="Business Administration"/>
    <x v="1"/>
    <s v="At Risk"/>
    <s v="At Risk"/>
  </r>
  <r>
    <s v="STD0212"/>
    <s v="Economics"/>
    <n v="75.8"/>
    <n v="70.599999999999994"/>
    <n v="85.9"/>
    <n v="72.7"/>
    <s v="Good Standing"/>
    <s v="Economics"/>
    <x v="0"/>
    <s v="Good Standing"/>
    <s v="Good Standing"/>
  </r>
  <r>
    <s v="STD0105"/>
    <s v="Engineering"/>
    <n v="99.9"/>
    <n v="70.900000000000006"/>
    <n v="85.9"/>
    <n v="54.9"/>
    <s v="Good Standing"/>
    <s v="Engineering"/>
    <x v="0"/>
    <s v="Good Standing"/>
    <s v="Good Standing"/>
  </r>
  <r>
    <s v="STD0116"/>
    <s v="Engineering"/>
    <n v="70"/>
    <n v="53.4"/>
    <n v="85.6"/>
    <n v="59.1"/>
    <s v="Good Standing"/>
    <s v="Engineering"/>
    <x v="0"/>
    <s v="Good Standing"/>
    <s v="Good Standing"/>
  </r>
  <r>
    <s v="STD0165"/>
    <s v="Data Science"/>
    <n v="85.1"/>
    <n v="78.2"/>
    <n v="85.5"/>
    <n v="67.400000000000006"/>
    <s v="Good Standing"/>
    <s v="Data Science"/>
    <x v="0"/>
    <s v="Good Standing"/>
    <s v="Good Standing"/>
  </r>
  <r>
    <s v="STD0231"/>
    <s v="Computer Science"/>
    <n v="65.3"/>
    <n v="92.9"/>
    <n v="85.4"/>
    <n v="68.2"/>
    <s v="Good Standing"/>
    <s v="Computer Science"/>
    <x v="0"/>
    <s v="Good Standing"/>
    <s v="Good Standing"/>
  </r>
  <r>
    <s v="STD0259"/>
    <s v="Data Science"/>
    <n v="84.4"/>
    <n v="82"/>
    <n v="85.2"/>
    <n v="100"/>
    <s v="Good Standing"/>
    <s v="Data Science"/>
    <x v="0"/>
    <s v="Good Standing"/>
    <s v="Good Standing"/>
  </r>
  <r>
    <s v="unknow"/>
    <s v="Computer Science"/>
    <n v="87.8"/>
    <n v="75.099999999999994"/>
    <n v="84.7"/>
    <n v="80.099999999999994"/>
    <s v="At Risk"/>
    <s v="Computer Science"/>
    <x v="1"/>
    <s v="At Risk"/>
    <s v="At Risk"/>
  </r>
  <r>
    <s v="STD0203"/>
    <s v="Engineering"/>
    <n v="98.5"/>
    <n v="60.9"/>
    <n v="83.8"/>
    <n v="94.9"/>
    <s v="Good Standing"/>
    <s v="Engineering"/>
    <x v="0"/>
    <s v="Good Standing"/>
    <s v="Good Standing"/>
  </r>
  <r>
    <s v="STD0130"/>
    <s v="Business Administration"/>
    <n v="66.5"/>
    <n v="99.1"/>
    <n v="83.5"/>
    <n v="35.700000000000003"/>
    <s v="Good Standing"/>
    <s v="Business Administration"/>
    <x v="0"/>
    <s v="Good Standing"/>
    <s v="Good Standing"/>
  </r>
  <r>
    <s v="STD0101"/>
    <s v="Computer Science"/>
    <n v="48.8"/>
    <n v="69.3"/>
    <n v="83.2"/>
    <n v="81"/>
    <s v="Unknown"/>
    <s v="Computer Science"/>
    <x v="2"/>
    <s v="Unknown"/>
    <s v="Unknown"/>
  </r>
  <r>
    <s v="STD0037"/>
    <s v="Unknown"/>
    <n v="99.4"/>
    <n v="76.7"/>
    <n v="83.2"/>
    <n v="100"/>
    <s v="Good Standing"/>
    <s v="Unknown"/>
    <x v="0"/>
    <s v="Good Standing"/>
    <s v="Good Standing"/>
  </r>
  <r>
    <s v="STD0279"/>
    <s v="Unknown"/>
    <n v="98.6"/>
    <n v="73.3"/>
    <n v="83"/>
    <n v="54.1"/>
    <s v="Good Standing"/>
    <s v="Unknown"/>
    <x v="0"/>
    <s v="Good Standing"/>
    <s v="Good Standing"/>
  </r>
  <r>
    <s v="STD0196"/>
    <s v="Public Health"/>
    <n v="80.3"/>
    <n v="90.3"/>
    <n v="82.9"/>
    <n v="74.599999999999994"/>
    <s v="Good Standing"/>
    <s v="Public Health"/>
    <x v="0"/>
    <s v="Good Standing"/>
    <s v="Good Standing"/>
  </r>
  <r>
    <s v="STD0036"/>
    <s v="Computer Science"/>
    <n v="91.8"/>
    <n v="65.900000000000006"/>
    <n v="82.7"/>
    <n v="71.543880000000001"/>
    <s v="Good Standing"/>
    <s v="Computer Science"/>
    <x v="0"/>
    <s v="Good Standing"/>
    <s v="Good Standing"/>
  </r>
  <r>
    <s v="STD0028"/>
    <s v="Computer Science"/>
    <n v="97.9"/>
    <n v="55.2"/>
    <n v="82.5"/>
    <n v="50.1"/>
    <s v="Good Standing"/>
    <s v="Computer Science"/>
    <x v="0"/>
    <s v="Good Standing"/>
    <s v="Good Standing"/>
  </r>
  <r>
    <s v="STD0147"/>
    <s v="Computer Science"/>
    <n v="85.5"/>
    <n v="64.3"/>
    <n v="81.8"/>
    <n v="68.099999999999994"/>
    <s v="Good Standing"/>
    <s v="Computer Science"/>
    <x v="0"/>
    <s v="Good Standing"/>
    <s v="Good Standing"/>
  </r>
  <r>
    <s v="STD0258"/>
    <s v="Data Science"/>
    <n v="93.5"/>
    <n v="65.900000000000006"/>
    <n v="81.8"/>
    <n v="37.200000000000003"/>
    <s v="Good Standing"/>
    <s v="Data Science"/>
    <x v="0"/>
    <s v="Good Standing"/>
    <s v="Good Standing"/>
  </r>
  <r>
    <s v="STD0159"/>
    <s v="Data Science"/>
    <n v="77.3"/>
    <n v="74.900000000000006"/>
    <n v="81.599999999999994"/>
    <n v="62.2"/>
    <s v="Good Standing"/>
    <s v="Data Science"/>
    <x v="0"/>
    <s v="Good Standing"/>
    <s v="Good Standing"/>
  </r>
  <r>
    <s v="STD0291"/>
    <s v="Data Science"/>
    <n v="69.400000000000006"/>
    <n v="56.1"/>
    <n v="81.400000000000006"/>
    <n v="71.543880000000001"/>
    <s v="Good Standing"/>
    <s v="Data Science"/>
    <x v="0"/>
    <s v="Good Standing"/>
    <s v="Good Standing"/>
  </r>
  <r>
    <s v="STD0237"/>
    <s v="Business Administration"/>
    <n v="84.9"/>
    <n v="77.2"/>
    <n v="81.400000000000006"/>
    <n v="68"/>
    <s v="Good Standing"/>
    <s v="Business Administration"/>
    <x v="0"/>
    <s v="Good Standing"/>
    <s v="Good Standing"/>
  </r>
  <r>
    <s v="STD0133"/>
    <s v="Business Administration"/>
    <n v="62.8"/>
    <n v="80.3"/>
    <n v="81.099999999999994"/>
    <n v="87.7"/>
    <s v="Unknown"/>
    <s v="Business Administration"/>
    <x v="2"/>
    <s v="Unknown"/>
    <s v="Unknown"/>
  </r>
  <r>
    <s v="STD0119"/>
    <s v="Unknown"/>
    <n v="83.8"/>
    <n v="72.900000000000006"/>
    <n v="80.900000000000006"/>
    <n v="66.5"/>
    <s v="Good Standing"/>
    <s v="Unknown"/>
    <x v="0"/>
    <s v="Good Standing"/>
    <s v="Good Standing"/>
  </r>
  <r>
    <s v="STD0190"/>
    <s v="Business Administration"/>
    <n v="92.5"/>
    <n v="79.3"/>
    <n v="80.599999999999994"/>
    <n v="79.3"/>
    <s v="At Risk"/>
    <s v="Business Administration"/>
    <x v="1"/>
    <s v="At Risk"/>
    <s v="At Risk"/>
  </r>
  <r>
    <s v="STD0065"/>
    <s v="Engineering"/>
    <n v="93.4"/>
    <n v="70.2"/>
    <n v="80.400000000000006"/>
    <n v="91.8"/>
    <s v="Good Standing"/>
    <s v="Engineering"/>
    <x v="0"/>
    <s v="Good Standing"/>
    <s v="Good Standing"/>
  </r>
  <r>
    <s v="STD0270"/>
    <s v="Unknown"/>
    <n v="100"/>
    <n v="67.400000000000006"/>
    <n v="80"/>
    <n v="89.4"/>
    <s v="Good Standing"/>
    <s v="Unknown"/>
    <x v="0"/>
    <s v="Good Standing"/>
    <s v="Good Standing"/>
  </r>
  <r>
    <s v="STD0208"/>
    <s v="Computer Science"/>
    <n v="70"/>
    <n v="55.4"/>
    <n v="79.8"/>
    <n v="68.5"/>
    <s v="Good Standing"/>
    <s v="Computer Science"/>
    <x v="0"/>
    <s v="Good Standing"/>
    <s v="Good Standing"/>
  </r>
  <r>
    <s v="unknow"/>
    <s v="Economics"/>
    <n v="77.2"/>
    <n v="90.9"/>
    <n v="79.7"/>
    <n v="61.9"/>
    <s v="Good Standing"/>
    <s v="Economics"/>
    <x v="0"/>
    <s v="Good Standing"/>
    <s v="Good Standing"/>
  </r>
  <r>
    <s v="STD0177"/>
    <s v="Public Health"/>
    <n v="59.4"/>
    <n v="69.8"/>
    <n v="79.7"/>
    <n v="55.7"/>
    <s v="At Risk"/>
    <s v="Public Health"/>
    <x v="1"/>
    <s v="At Risk"/>
    <s v="At Risk"/>
  </r>
  <r>
    <s v="STD0288"/>
    <s v="Economics"/>
    <n v="-4"/>
    <n v="69.8"/>
    <n v="79.7"/>
    <n v="61.9"/>
    <s v="Good Standing"/>
    <s v="Economics"/>
    <x v="0"/>
    <s v="Good Standing"/>
    <s v="Good Standing"/>
  </r>
  <r>
    <s v="STD0276"/>
    <s v="Computer Science"/>
    <n v="58.7"/>
    <n v="60.8"/>
    <n v="79.5"/>
    <n v="63"/>
    <s v="At Risk"/>
    <s v="Computer Science"/>
    <x v="1"/>
    <s v="At Risk"/>
    <s v="At Risk"/>
  </r>
  <r>
    <s v="STD0072"/>
    <s v="Engineering"/>
    <n v="68.599999999999994"/>
    <n v="41.9"/>
    <n v="79.3"/>
    <n v="52.2"/>
    <s v="Good Standing"/>
    <s v="Engineering"/>
    <x v="0"/>
    <s v="Good Standing"/>
    <s v="Good Standing"/>
  </r>
  <r>
    <s v="STD0236"/>
    <s v="Data Science"/>
    <n v="100"/>
    <n v="43.6"/>
    <n v="79"/>
    <n v="85.6"/>
    <s v="Good Standing"/>
    <s v="Data Science"/>
    <x v="0"/>
    <s v="Good Standing"/>
    <s v="Good Standing"/>
  </r>
  <r>
    <s v="unknow"/>
    <s v="Business Administration"/>
    <n v="100"/>
    <n v="65.8"/>
    <n v="79"/>
    <n v="67.7"/>
    <s v="At Risk"/>
    <s v="Business Administration"/>
    <x v="1"/>
    <s v="At Risk"/>
    <s v="At Risk"/>
  </r>
  <r>
    <s v="STD0219"/>
    <s v="Economics"/>
    <n v="83.3"/>
    <n v="98.7"/>
    <n v="78.7"/>
    <n v="71.543880000000001"/>
    <s v="Unknown"/>
    <s v="Economics"/>
    <x v="2"/>
    <s v="Unknown"/>
    <s v="Unknown"/>
  </r>
  <r>
    <s v="STD0271"/>
    <s v="Business Administration"/>
    <n v="91.4"/>
    <n v="82"/>
    <n v="78.599999999999994"/>
    <n v="85.4"/>
    <s v="Good Standing"/>
    <s v="Business Administration"/>
    <x v="0"/>
    <s v="Good Standing"/>
    <s v="Good Standing"/>
  </r>
  <r>
    <s v="STD0020"/>
    <s v="Public Health"/>
    <n v="94.8"/>
    <n v="79.099999999999994"/>
    <n v="78.5"/>
    <n v="62.3"/>
    <s v="Good Standing"/>
    <s v="Public Health"/>
    <x v="0"/>
    <s v="Good Standing"/>
    <s v="Good Standing"/>
  </r>
  <r>
    <s v="STD0131"/>
    <s v="Business Administration"/>
    <n v="100"/>
    <n v="83.4"/>
    <n v="78.5"/>
    <n v="77.400000000000006"/>
    <s v="Good Standing"/>
    <s v="Business Administration"/>
    <x v="0"/>
    <s v="Good Standing"/>
    <s v="Good Standing"/>
  </r>
  <r>
    <s v="STD0039"/>
    <s v="Data Science"/>
    <n v="83.3"/>
    <n v="79.099999999999994"/>
    <n v="78.400000000000006"/>
    <n v="86.6"/>
    <s v="Good Standing"/>
    <s v="Data Science"/>
    <x v="0"/>
    <s v="Good Standing"/>
    <s v="Good Standing"/>
  </r>
  <r>
    <s v="STD0255"/>
    <s v="Data Science"/>
    <n v="83.1"/>
    <n v="77.3"/>
    <n v="78.400000000000006"/>
    <n v="57.1"/>
    <s v="At Risk"/>
    <s v="Data Science"/>
    <x v="1"/>
    <s v="At Risk"/>
    <s v="At Risk"/>
  </r>
  <r>
    <s v="STD0003"/>
    <s v="Public Health"/>
    <n v="71.8"/>
    <n v="78.2"/>
    <n v="78.400000000000006"/>
    <n v="58"/>
    <s v="Good Standing"/>
    <s v="Public Health"/>
    <x v="0"/>
    <s v="Good Standing"/>
    <s v="Good Standing"/>
  </r>
  <r>
    <s v="STD0091"/>
    <s v="Engineering"/>
    <n v="98.1"/>
    <n v="65"/>
    <n v="78.3"/>
    <n v="58.1"/>
    <s v="Unknown"/>
    <s v="Engineering"/>
    <x v="2"/>
    <s v="Unknown"/>
    <s v="Unknown"/>
  </r>
  <r>
    <s v="STD0180"/>
    <s v="Data Science"/>
    <n v="81.900000000000006"/>
    <n v="67.3"/>
    <n v="78.3"/>
    <n v="62"/>
    <s v="Good Standing"/>
    <s v="Data Science"/>
    <x v="0"/>
    <s v="Good Standing"/>
    <s v="Good Standing"/>
  </r>
  <r>
    <s v="STD0253"/>
    <s v="Economics"/>
    <n v="83.4"/>
    <n v="52.8"/>
    <n v="78.099999999999994"/>
    <n v="72.5"/>
    <s v="Good Standing"/>
    <s v="Economics"/>
    <x v="0"/>
    <s v="Good Standing"/>
    <s v="Good Standing"/>
  </r>
  <r>
    <s v="STD0179"/>
    <s v="Business Administration"/>
    <n v="60.5"/>
    <n v="69.8"/>
    <n v="78.099999999999994"/>
    <n v="75.3"/>
    <s v="Good Standing"/>
    <s v="Business Administration"/>
    <x v="0"/>
    <s v="Good Standing"/>
    <s v="Good Standing"/>
  </r>
  <r>
    <s v="STD0286"/>
    <s v="Engineering"/>
    <n v="82.1"/>
    <n v="62.9"/>
    <n v="77.900000000000006"/>
    <n v="68.2"/>
    <s v="Good Standing"/>
    <s v="Engineering"/>
    <x v="0"/>
    <s v="Good Standing"/>
    <s v="Good Standing"/>
  </r>
  <r>
    <s v="STD0268"/>
    <s v="Data Science"/>
    <n v="85.4"/>
    <n v="61.4"/>
    <n v="77.900000000000006"/>
    <n v="76"/>
    <s v="At Risk"/>
    <s v="Data Science"/>
    <x v="1"/>
    <s v="At Risk"/>
    <s v="At Risk"/>
  </r>
  <r>
    <s v="STD0023"/>
    <s v="Data Science"/>
    <n v="70.7"/>
    <n v="62"/>
    <n v="77.8"/>
    <n v="49"/>
    <s v="Good Standing"/>
    <s v="Data Science"/>
    <x v="0"/>
    <s v="Good Standing"/>
    <s v="Good Standing"/>
  </r>
  <r>
    <s v="STD0109"/>
    <s v="Engineering"/>
    <n v="94.2"/>
    <n v="67.599999999999994"/>
    <n v="77.5"/>
    <n v="93.3"/>
    <s v="Good Standing"/>
    <s v="Engineering"/>
    <x v="0"/>
    <s v="Good Standing"/>
    <s v="Good Standing"/>
  </r>
  <r>
    <s v="STD0049"/>
    <s v="Data Science"/>
    <n v="59"/>
    <n v="60.4"/>
    <n v="77"/>
    <n v="71.543880000000001"/>
    <s v="Good Standing"/>
    <s v="Data Science"/>
    <x v="0"/>
    <s v="Good Standing"/>
    <s v="Good Standing"/>
  </r>
  <r>
    <s v="STD0073"/>
    <s v="Business Administration"/>
    <n v="83.5"/>
    <n v="44.3"/>
    <n v="77"/>
    <n v="75.7"/>
    <s v="Good Standing"/>
    <s v="Business Administration"/>
    <x v="0"/>
    <s v="Good Standing"/>
    <s v="Good Standing"/>
  </r>
  <r>
    <s v="STD0146"/>
    <s v="Business Administration"/>
    <n v="67"/>
    <n v="87.7"/>
    <n v="76.900000000000006"/>
    <n v="74.599999999999994"/>
    <s v="At Risk"/>
    <s v="Business Administration"/>
    <x v="1"/>
    <s v="At Risk"/>
    <s v="At Risk"/>
  </r>
  <r>
    <s v="STD0157"/>
    <s v="Business Administration"/>
    <n v="78.8"/>
    <n v="69.8"/>
    <n v="76.8"/>
    <n v="48.2"/>
    <s v="Good Standing"/>
    <s v="Business Administration"/>
    <x v="0"/>
    <s v="Good Standing"/>
    <s v="Good Standing"/>
  </r>
  <r>
    <s v="STD0076"/>
    <s v="Data Science"/>
    <n v="82.7"/>
    <n v="69.8"/>
    <n v="76.8"/>
    <n v="74.5"/>
    <s v="At Risk"/>
    <s v="Data Science"/>
    <x v="1"/>
    <s v="At Risk"/>
    <s v="At Risk"/>
  </r>
  <r>
    <s v="STD0153"/>
    <s v="Business Administration"/>
    <n v="65"/>
    <n v="89.3"/>
    <n v="76.8"/>
    <n v="53"/>
    <s v="Good Standing"/>
    <s v="Business Administration"/>
    <x v="0"/>
    <s v="Good Standing"/>
    <s v="Good Standing"/>
  </r>
  <r>
    <s v="STD0145"/>
    <s v="Public Health"/>
    <n v="60.8"/>
    <n v="77.400000000000006"/>
    <n v="76.8"/>
    <n v="41.7"/>
    <s v="Good Standing"/>
    <s v="Public Health"/>
    <x v="0"/>
    <s v="Good Standing"/>
    <s v="Good Standing"/>
  </r>
  <r>
    <s v="STD0008"/>
    <s v="Engineering"/>
    <n v="100"/>
    <n v="64.099999999999994"/>
    <n v="76.599999999999994"/>
    <n v="68.599999999999994"/>
    <s v="Good Standing"/>
    <s v="Engineering"/>
    <x v="0"/>
    <s v="Good Standing"/>
    <s v="Good Standing"/>
  </r>
  <r>
    <s v="unknow"/>
    <s v="Computer Science"/>
    <n v="70.099999999999994"/>
    <n v="75.900000000000006"/>
    <n v="76.2"/>
    <n v="55.4"/>
    <s v="At Risk"/>
    <s v="Computer Science"/>
    <x v="1"/>
    <s v="At Risk"/>
    <s v="At Risk"/>
  </r>
  <r>
    <s v="STD0041"/>
    <s v="Engineering"/>
    <n v="58.7"/>
    <n v="72.2"/>
    <n v="75.7"/>
    <n v="67.7"/>
    <s v="At Risk"/>
    <s v="Engineering"/>
    <x v="1"/>
    <s v="At Risk"/>
    <s v="At Risk"/>
  </r>
  <r>
    <s v="STD0002"/>
    <s v="Business Administration"/>
    <n v="92.4"/>
    <n v="69.099999999999994"/>
    <n v="75.7"/>
    <n v="36.700000000000003"/>
    <s v="Unknown"/>
    <s v="Business Administration"/>
    <x v="2"/>
    <s v="Unknown"/>
    <s v="Unknown"/>
  </r>
  <r>
    <s v="STD0261"/>
    <s v="Public Health"/>
    <n v="58.7"/>
    <n v="51.3"/>
    <n v="75.599999999999994"/>
    <n v="35.799999999999997"/>
    <s v="Good Standing"/>
    <s v="Public Health"/>
    <x v="0"/>
    <s v="Good Standing"/>
    <s v="Good Standing"/>
  </r>
  <r>
    <s v="STD0007"/>
    <s v="Business Administration"/>
    <n v="100"/>
    <n v="79.7"/>
    <n v="75.400000000000006"/>
    <n v="95.3"/>
    <s v="Unknown"/>
    <s v="Business Administration"/>
    <x v="2"/>
    <s v="Unknown"/>
    <s v="Unknown"/>
  </r>
  <r>
    <s v="STD0283"/>
    <s v="Computer Science"/>
    <n v="69.900000000000006"/>
    <n v="79.7"/>
    <n v="75.400000000000006"/>
    <n v="59.3"/>
    <s v="Good Standing"/>
    <s v="Computer Science"/>
    <x v="0"/>
    <s v="Good Standing"/>
    <s v="Good Standing"/>
  </r>
  <r>
    <s v="STD0264"/>
    <s v="Engineering"/>
    <n v="95"/>
    <n v="99.5"/>
    <n v="74.8"/>
    <n v="82.7"/>
    <s v="Good Standing"/>
    <s v="Engineering"/>
    <x v="0"/>
    <s v="Good Standing"/>
    <s v="Good Standing"/>
  </r>
  <r>
    <s v="STD0033"/>
    <s v="Data Science"/>
    <n v="89.2"/>
    <n v="100"/>
    <n v="74.8"/>
    <n v="73.599999999999994"/>
    <s v="Good Standing"/>
    <s v="Data Science"/>
    <x v="0"/>
    <s v="Good Standing"/>
    <s v="Good Standing"/>
  </r>
  <r>
    <s v="STD0174"/>
    <s v="Data Science"/>
    <n v="70.400000000000006"/>
    <n v="69.099999999999994"/>
    <n v="74.7"/>
    <n v="77.400000000000006"/>
    <s v="Good Standing"/>
    <s v="Data Science"/>
    <x v="0"/>
    <s v="Good Standing"/>
    <s v="Good Standing"/>
  </r>
  <r>
    <s v="STD0194"/>
    <s v="Engineering"/>
    <n v="93.3"/>
    <n v="79"/>
    <n v="74.2"/>
    <n v="27.5"/>
    <s v="Good Standing"/>
    <s v="Engineering"/>
    <x v="0"/>
    <s v="Good Standing"/>
    <s v="Good Standing"/>
  </r>
  <r>
    <s v="STD0094"/>
    <s v="Data Science"/>
    <n v="83.3"/>
    <n v="41.4"/>
    <n v="74.099999999999994"/>
    <n v="51.5"/>
    <s v="Good Standing"/>
    <s v="Data Science"/>
    <x v="0"/>
    <s v="Good Standing"/>
    <s v="Good Standing"/>
  </r>
  <r>
    <s v="STD0290"/>
    <s v="Computer Science"/>
    <n v="88.3"/>
    <n v="72.400000000000006"/>
    <n v="73.599999999999994"/>
    <n v="71.543880000000001"/>
    <s v="Good Standing"/>
    <s v="Computer Science"/>
    <x v="0"/>
    <s v="Good Standing"/>
    <s v="Good Standing"/>
  </r>
  <r>
    <s v="STD0232"/>
    <s v="Engineering"/>
    <n v="77.2"/>
    <n v="91.8"/>
    <n v="73.099999999999994"/>
    <n v="98.2"/>
    <s v="Good Standing"/>
    <s v="Engineering"/>
    <x v="0"/>
    <s v="Good Standing"/>
    <s v="Good Standing"/>
  </r>
  <r>
    <s v="STD0265"/>
    <s v="Computer Science"/>
    <n v="70.900000000000006"/>
    <n v="87.1"/>
    <n v="73.099999999999994"/>
    <n v="100"/>
    <s v="Good Standing"/>
    <s v="Computer Science"/>
    <x v="0"/>
    <s v="Good Standing"/>
    <s v="Good Standing"/>
  </r>
  <r>
    <s v="STD0046"/>
    <s v="Public Health"/>
    <n v="94"/>
    <n v="85.7"/>
    <n v="73"/>
    <n v="83.7"/>
    <s v="Good Standing"/>
    <s v="Public Health"/>
    <x v="0"/>
    <s v="Good Standing"/>
    <s v="Good Standing"/>
  </r>
  <r>
    <s v="STD0100"/>
    <s v="Computer Science"/>
    <n v="89.8"/>
    <n v="62.5"/>
    <n v="73"/>
    <n v="37.4"/>
    <s v="Good Standing"/>
    <s v="Computer Science"/>
    <x v="0"/>
    <s v="Good Standing"/>
    <s v="Good Standing"/>
  </r>
  <r>
    <s v="STD0016"/>
    <s v="Business Administration"/>
    <n v="76.2"/>
    <n v="66.900000000000006"/>
    <n v="72.900000000000006"/>
    <n v="71.543880000000001"/>
    <s v="Good Standing"/>
    <s v="Business Administration"/>
    <x v="0"/>
    <s v="Good Standing"/>
    <s v="Good Standing"/>
  </r>
  <r>
    <s v="STD0111"/>
    <s v="Data Science"/>
    <n v="66.3"/>
    <n v="80.099999999999994"/>
    <n v="72.8"/>
    <n v="71.543880000000001"/>
    <s v="Good Standing"/>
    <s v="Data Science"/>
    <x v="0"/>
    <s v="Good Standing"/>
    <s v="Good Standing"/>
  </r>
  <r>
    <s v="STD0027"/>
    <s v="Data Science"/>
    <n v="58.7"/>
    <n v="72.5"/>
    <n v="72.7"/>
    <n v="47.5"/>
    <s v="Good Standing"/>
    <s v="Data Science"/>
    <x v="0"/>
    <s v="Good Standing"/>
    <s v="Good Standing"/>
  </r>
  <r>
    <s v="STD0163"/>
    <s v="Business Administration"/>
    <n v="88.8"/>
    <n v="83.4"/>
    <n v="72.5"/>
    <n v="73.2"/>
    <s v="Good Standing"/>
    <s v="Business Administration"/>
    <x v="0"/>
    <s v="Good Standing"/>
    <s v="Good Standing"/>
  </r>
  <r>
    <s v="STD0043"/>
    <s v="Public Health"/>
    <n v="100"/>
    <n v="69.8"/>
    <n v="72.400000000000006"/>
    <n v="67.8"/>
    <s v="At Risk"/>
    <s v="Public Health"/>
    <x v="1"/>
    <s v="At Risk"/>
    <s v="At Risk"/>
  </r>
  <r>
    <s v="STD0242"/>
    <s v="Public Health"/>
    <n v="65.7"/>
    <n v="100"/>
    <n v="72.2"/>
    <n v="84.7"/>
    <s v="Good Standing"/>
    <s v="Public Health"/>
    <x v="0"/>
    <s v="Good Standing"/>
    <s v="Good Standing"/>
  </r>
  <r>
    <s v="STD0167"/>
    <s v="Data Science"/>
    <n v="93.2"/>
    <n v="53.5"/>
    <n v="72.2"/>
    <n v="49.9"/>
    <s v="At Risk"/>
    <s v="Data Science"/>
    <x v="1"/>
    <s v="At Risk"/>
    <s v="At Risk"/>
  </r>
  <r>
    <s v="STD0216"/>
    <s v="Computer Science"/>
    <n v="84.1"/>
    <n v="79.599999999999994"/>
    <n v="71.900000000000006"/>
    <n v="83.4"/>
    <s v="Good Standing"/>
    <s v="Computer Science"/>
    <x v="0"/>
    <s v="Good Standing"/>
    <s v="Good Standing"/>
  </r>
  <r>
    <s v="STD0230"/>
    <s v="Business Administration"/>
    <n v="80.400000000000006"/>
    <n v="89.3"/>
    <n v="71.7"/>
    <n v="61.4"/>
    <s v="Good Standing"/>
    <s v="Business Administration"/>
    <x v="0"/>
    <s v="Good Standing"/>
    <s v="Good Standing"/>
  </r>
  <r>
    <s v="STD0030"/>
    <s v="Computer Science"/>
    <n v="83.4"/>
    <n v="81.400000000000006"/>
    <n v="71.5"/>
    <n v="59.3"/>
    <s v="Good Standing"/>
    <s v="Computer Science"/>
    <x v="0"/>
    <s v="Good Standing"/>
    <s v="Good Standing"/>
  </r>
  <r>
    <s v="STD0189"/>
    <s v="Economics"/>
    <n v="76"/>
    <n v="69.400000000000006"/>
    <n v="71.5"/>
    <n v="49.2"/>
    <s v="At Risk"/>
    <s v="Economics"/>
    <x v="1"/>
    <s v="At Risk"/>
    <s v="At Risk"/>
  </r>
  <r>
    <s v="STD0287"/>
    <s v="Business Administration"/>
    <n v="87.1"/>
    <n v="77.400000000000006"/>
    <n v="71.3"/>
    <n v="42.3"/>
    <s v="Good Standing"/>
    <s v="Business Administration"/>
    <x v="0"/>
    <s v="Good Standing"/>
    <s v="Good Standing"/>
  </r>
  <r>
    <s v="unknow"/>
    <s v="Engineering"/>
    <n v="79.099999999999994"/>
    <n v="55.9"/>
    <n v="71.3"/>
    <n v="85.2"/>
    <s v="Good Standing"/>
    <s v="Engineering"/>
    <x v="0"/>
    <s v="Good Standing"/>
    <s v="Good Standing"/>
  </r>
  <r>
    <s v="STD0238"/>
    <s v="Public Health"/>
    <n v="77.2"/>
    <n v="51.1"/>
    <n v="71.3"/>
    <n v="83.6"/>
    <s v="At Risk"/>
    <s v="Public Health"/>
    <x v="1"/>
    <s v="At Risk"/>
    <s v="At Risk"/>
  </r>
  <r>
    <s v="STD0122"/>
    <s v="Economics"/>
    <n v="93.4"/>
    <n v="58.3"/>
    <n v="71.2"/>
    <n v="52.5"/>
    <s v="Good Standing"/>
    <s v="Economics"/>
    <x v="0"/>
    <s v="Good Standing"/>
    <s v="Good Standing"/>
  </r>
  <r>
    <s v="STD0055"/>
    <s v="Engineering"/>
    <n v="86.7"/>
    <n v="72.400000000000006"/>
    <n v="71"/>
    <n v="85.8"/>
    <s v="Good Standing"/>
    <s v="Engineering"/>
    <x v="0"/>
    <s v="Good Standing"/>
    <s v="Good Standing"/>
  </r>
  <r>
    <s v="STD0011"/>
    <s v="Computer Science"/>
    <n v="69.400000000000006"/>
    <n v="38.5"/>
    <n v="70.8"/>
    <n v="74.7"/>
    <s v="Good Standing"/>
    <s v="Computer Science"/>
    <x v="0"/>
    <s v="Good Standing"/>
    <s v="Good Standing"/>
  </r>
  <r>
    <s v="STD0175"/>
    <s v="Business Administration"/>
    <n v="82.5"/>
    <n v="87.7"/>
    <n v="70.599999999999994"/>
    <n v="71.543880000000001"/>
    <s v="Good Standing"/>
    <s v="Business Administration"/>
    <x v="0"/>
    <s v="Good Standing"/>
    <s v="Good Standing"/>
  </r>
  <r>
    <s v="STD0207"/>
    <s v="Data Science"/>
    <n v="96.2"/>
    <n v="64.2"/>
    <n v="70.5"/>
    <n v="56"/>
    <s v="Good Standing"/>
    <s v="Data Science"/>
    <x v="0"/>
    <s v="Good Standing"/>
    <s v="Good Standing"/>
  </r>
  <r>
    <s v="STD0067"/>
    <s v="Data Science"/>
    <n v="88.7"/>
    <n v="69.8"/>
    <n v="70.400000000000006"/>
    <n v="63.1"/>
    <s v="At Risk"/>
    <s v="Data Science"/>
    <x v="1"/>
    <s v="At Risk"/>
    <s v="At Risk"/>
  </r>
  <r>
    <s v="STD0034"/>
    <s v="Data Science"/>
    <n v="96.5"/>
    <n v="78.099999999999994"/>
    <n v="70.3"/>
    <n v="89.1"/>
    <s v="Good Standing"/>
    <s v="Data Science"/>
    <x v="0"/>
    <s v="Good Standing"/>
    <s v="Good Standing"/>
  </r>
  <r>
    <s v="STD0198"/>
    <s v="Computer Science"/>
    <n v="72.2"/>
    <n v="71.099999999999994"/>
    <n v="69.8"/>
    <n v="76.5"/>
    <s v="Good Standing"/>
    <s v="Computer Science"/>
    <x v="0"/>
    <s v="Good Standing"/>
    <s v="Good Standing"/>
  </r>
  <r>
    <s v="STD0090"/>
    <s v="Public Health"/>
    <n v="57.3"/>
    <n v="84.6"/>
    <n v="69.7"/>
    <n v="49.2"/>
    <s v="Good Standing"/>
    <s v="Public Health"/>
    <x v="0"/>
    <s v="Good Standing"/>
    <s v="Good Standing"/>
  </r>
  <r>
    <s v="STD0228"/>
    <s v="Public Health"/>
    <n v="58.7"/>
    <n v="62.5"/>
    <n v="69.7"/>
    <n v="80.400000000000006"/>
    <s v="Good Standing"/>
    <s v="Public Health"/>
    <x v="0"/>
    <s v="Good Standing"/>
    <s v="Good Standing"/>
  </r>
  <r>
    <s v="STD0077"/>
    <s v="Business Administration"/>
    <n v="58.7"/>
    <n v="64.7"/>
    <n v="69.5"/>
    <n v="69.3"/>
    <s v="At Risk"/>
    <s v="Business Administration"/>
    <x v="1"/>
    <s v="At Risk"/>
    <s v="At Risk"/>
  </r>
  <r>
    <s v="STD0092"/>
    <s v="Unknown"/>
    <n v="61.9"/>
    <n v="78.400000000000006"/>
    <n v="69"/>
    <n v="90.6"/>
    <s v="Good Standing"/>
    <s v="Unknown"/>
    <x v="0"/>
    <s v="Good Standing"/>
    <s v="Good Standing"/>
  </r>
  <r>
    <s v="STD0217"/>
    <s v="Engineering"/>
    <n v="90.5"/>
    <n v="69.8"/>
    <n v="68.3"/>
    <n v="71.2"/>
    <s v="At Risk"/>
    <s v="Engineering"/>
    <x v="1"/>
    <s v="At Risk"/>
    <s v="At Risk"/>
  </r>
  <r>
    <s v="STD0009"/>
    <s v="Economics"/>
    <n v="58.7"/>
    <n v="91"/>
    <n v="68"/>
    <n v="69.099999999999994"/>
    <s v="At Risk"/>
    <s v="Economics"/>
    <x v="1"/>
    <s v="At Risk"/>
    <s v="At Risk"/>
  </r>
  <r>
    <s v="STD0243"/>
    <s v="Public Health"/>
    <n v="75.599999999999994"/>
    <n v="37.200000000000003"/>
    <n v="68"/>
    <n v="71.543880000000001"/>
    <s v="Unknown"/>
    <s v="Public Health"/>
    <x v="2"/>
    <s v="Unknown"/>
    <s v="Unknown"/>
  </r>
  <r>
    <s v="STD0086"/>
    <s v="Business Administration"/>
    <n v="76.599999999999994"/>
    <n v="45.1"/>
    <n v="67.900000000000006"/>
    <n v="50.7"/>
    <s v="Good Standing"/>
    <s v="Business Administration"/>
    <x v="0"/>
    <s v="Good Standing"/>
    <s v="Good Standing"/>
  </r>
  <r>
    <s v="STD0115"/>
    <s v="Data Science"/>
    <n v="90.5"/>
    <n v="82.5"/>
    <n v="67.599999999999994"/>
    <n v="84.2"/>
    <s v="Good Standing"/>
    <s v="Data Science"/>
    <x v="0"/>
    <s v="Good Standing"/>
    <s v="Good Standing"/>
  </r>
  <r>
    <s v="STD0120"/>
    <s v="Public Health"/>
    <n v="80"/>
    <n v="69.8"/>
    <n v="67.3"/>
    <n v="64.599999999999994"/>
    <s v="At Risk"/>
    <s v="Public Health"/>
    <x v="1"/>
    <s v="At Risk"/>
    <s v="At Risk"/>
  </r>
  <r>
    <s v="STD0191"/>
    <s v="Unknown"/>
    <n v="58.7"/>
    <n v="58.7"/>
    <n v="67.2"/>
    <n v="76.5"/>
    <s v="Good Standing"/>
    <s v="Unknown"/>
    <x v="0"/>
    <s v="Good Standing"/>
    <s v="Good Standing"/>
  </r>
  <r>
    <s v="STD0169"/>
    <s v="Engineering"/>
    <n v="58.5"/>
    <n v="88"/>
    <n v="67.099999999999994"/>
    <n v="54.1"/>
    <s v="Good Standing"/>
    <s v="Engineering"/>
    <x v="0"/>
    <s v="Good Standing"/>
    <s v="Good Standing"/>
  </r>
  <r>
    <s v="STD0282"/>
    <s v="Computer Science"/>
    <n v="95"/>
    <n v="95.2"/>
    <n v="67"/>
    <n v="80.099999999999994"/>
    <s v="Good Standing"/>
    <s v="Computer Science"/>
    <x v="0"/>
    <s v="Good Standing"/>
    <s v="Good Standing"/>
  </r>
  <r>
    <s v="STD0244"/>
    <s v="Business Administration"/>
    <n v="79.8"/>
    <n v="42.7"/>
    <n v="66.5"/>
    <n v="75.2"/>
    <s v="Good Standing"/>
    <s v="Business Administration"/>
    <x v="0"/>
    <s v="Good Standing"/>
    <s v="Good Standing"/>
  </r>
  <r>
    <s v="STD0006"/>
    <s v="Data Science"/>
    <n v="85.1"/>
    <n v="67.5"/>
    <n v="66.3"/>
    <n v="64.099999999999994"/>
    <s v="Good Standing"/>
    <s v="Data Science"/>
    <x v="0"/>
    <s v="Good Standing"/>
    <s v="Good Standing"/>
  </r>
  <r>
    <s v="STD0110"/>
    <s v="Public Health"/>
    <n v="85"/>
    <n v="47.5"/>
    <n v="66.2"/>
    <n v="98"/>
    <s v="Good Standing"/>
    <s v="Public Health"/>
    <x v="0"/>
    <s v="Good Standing"/>
    <s v="Good Standing"/>
  </r>
  <r>
    <s v="STD0215"/>
    <s v="Business Administration"/>
    <n v="73.099999999999994"/>
    <n v="58.5"/>
    <n v="66.099999999999994"/>
    <n v="69.7"/>
    <s v="Good Standing"/>
    <s v="Business Administration"/>
    <x v="0"/>
    <s v="Good Standing"/>
    <s v="Good Standing"/>
  </r>
  <r>
    <s v="unknow"/>
    <s v="Computer Science"/>
    <n v="69.2"/>
    <n v="64.3"/>
    <n v="66.099999999999994"/>
    <n v="93.6"/>
    <s v="Good Standing"/>
    <s v="Computer Science"/>
    <x v="0"/>
    <s v="Good Standing"/>
    <s v="Good Standing"/>
  </r>
  <r>
    <s v="STD0136"/>
    <s v="Data Science"/>
    <n v="71.7"/>
    <n v="83.4"/>
    <n v="66.099999999999994"/>
    <n v="89.8"/>
    <s v="Good Standing"/>
    <s v="Data Science"/>
    <x v="0"/>
    <s v="Good Standing"/>
    <s v="Good Standing"/>
  </r>
  <r>
    <s v="STD0062"/>
    <s v="Data Science"/>
    <n v="82.7"/>
    <n v="88"/>
    <n v="66.099999999999994"/>
    <n v="89.9"/>
    <s v="Good Standing"/>
    <s v="Data Science"/>
    <x v="0"/>
    <s v="Good Standing"/>
    <s v="Good Standing"/>
  </r>
  <r>
    <s v="STD0224"/>
    <s v="Computer Science"/>
    <n v="97.1"/>
    <n v="78"/>
    <n v="66"/>
    <n v="66.099999999999994"/>
    <s v="At Risk"/>
    <s v="Computer Science"/>
    <x v="1"/>
    <s v="At Risk"/>
    <s v="At Risk"/>
  </r>
  <r>
    <s v="STD0058"/>
    <s v="Public Health"/>
    <n v="100"/>
    <n v="75.7"/>
    <n v="66"/>
    <n v="75.2"/>
    <s v="Good Standing"/>
    <s v="Public Health"/>
    <x v="0"/>
    <s v="Good Standing"/>
    <s v="Good Standing"/>
  </r>
  <r>
    <s v="STD0005"/>
    <s v="Engineering"/>
    <n v="86.4"/>
    <n v="53.2"/>
    <n v="65.900000000000006"/>
    <n v="92.9"/>
    <s v="Good Standing"/>
    <s v="Engineering"/>
    <x v="0"/>
    <s v="Good Standing"/>
    <s v="Good Standing"/>
  </r>
  <r>
    <s v="STD0197"/>
    <s v="Economics"/>
    <n v="91.1"/>
    <n v="74.8"/>
    <n v="65.8"/>
    <n v="63.1"/>
    <s v="Good Standing"/>
    <s v="Economics"/>
    <x v="0"/>
    <s v="Good Standing"/>
    <s v="Good Standing"/>
  </r>
  <r>
    <s v="STD0205"/>
    <s v="Computer Science"/>
    <n v="72.8"/>
    <n v="81.3"/>
    <n v="65.8"/>
    <n v="31.9"/>
    <s v="At Risk"/>
    <s v="Computer Science"/>
    <x v="1"/>
    <s v="At Risk"/>
    <s v="At Risk"/>
  </r>
  <r>
    <s v="STD0001"/>
    <s v="Engineering"/>
    <n v="81.599999999999994"/>
    <n v="74"/>
    <n v="65.5"/>
    <n v="62.2"/>
    <s v="Unknown"/>
    <s v="Engineering"/>
    <x v="2"/>
    <s v="Unknown"/>
    <s v="Unknown"/>
  </r>
  <r>
    <s v="STD0013"/>
    <s v="Data Science"/>
    <n v="96.8"/>
    <n v="74.2"/>
    <n v="65.400000000000006"/>
    <n v="54.4"/>
    <s v="Good Standing"/>
    <s v="Data Science"/>
    <x v="0"/>
    <s v="Good Standing"/>
    <s v="Good Standing"/>
  </r>
  <r>
    <s v="STD0052"/>
    <s v="Economics"/>
    <n v="76"/>
    <n v="82.2"/>
    <n v="65.2"/>
    <n v="75.2"/>
    <s v="Good Standing"/>
    <s v="Economics"/>
    <x v="0"/>
    <s v="Good Standing"/>
    <s v="Good Standing"/>
  </r>
  <r>
    <s v="STD0084"/>
    <s v="Business Administration"/>
    <n v="90.8"/>
    <n v="72.7"/>
    <n v="65.099999999999994"/>
    <n v="99"/>
    <s v="Good Standing"/>
    <s v="Business Administration"/>
    <x v="0"/>
    <s v="Good Standing"/>
    <s v="Good Standing"/>
  </r>
  <r>
    <s v="STD0044"/>
    <s v="Economics"/>
    <n v="79.099999999999994"/>
    <n v="39"/>
    <n v="65"/>
    <n v="71.2"/>
    <s v="Good Standing"/>
    <s v="Economics"/>
    <x v="0"/>
    <s v="Good Standing"/>
    <s v="Good Standing"/>
  </r>
  <r>
    <s v="STD0123"/>
    <s v="Business Administration"/>
    <n v="97.2"/>
    <n v="91.4"/>
    <n v="64.7"/>
    <n v="60"/>
    <s v="Good Standing"/>
    <s v="Business Administration"/>
    <x v="0"/>
    <s v="Good Standing"/>
    <s v="Good Standing"/>
  </r>
  <r>
    <s v="STD0166"/>
    <s v="Unknown"/>
    <n v="76.2"/>
    <n v="-10"/>
    <n v="64.5"/>
    <n v="62.7"/>
    <s v="Good Standing"/>
    <s v="Unknown"/>
    <x v="0"/>
    <s v="Good Standing"/>
    <s v="Good Standing"/>
  </r>
  <r>
    <s v="STD0184"/>
    <s v="Public Health"/>
    <n v="57"/>
    <n v="86"/>
    <n v="64.400000000000006"/>
    <n v="75.599999999999994"/>
    <s v="Unknown"/>
    <s v="Public Health"/>
    <x v="2"/>
    <s v="Unknown"/>
    <s v="Unknown"/>
  </r>
  <r>
    <s v="STD0022"/>
    <s v="Public Health"/>
    <n v="41.3"/>
    <n v="80"/>
    <n v="64.099999999999994"/>
    <n v="68.5"/>
    <s v="Good Standing"/>
    <s v="Public Health"/>
    <x v="0"/>
    <s v="Good Standing"/>
    <s v="Good Standing"/>
  </r>
  <r>
    <s v="STD0273"/>
    <s v="Public Health"/>
    <n v="90"/>
    <n v="74.7"/>
    <n v="64.099999999999994"/>
    <n v="87.7"/>
    <s v="At Risk"/>
    <s v="Public Health"/>
    <x v="1"/>
    <s v="At Risk"/>
    <s v="At Risk"/>
  </r>
  <r>
    <s v="STD0045"/>
    <s v="Computer Science"/>
    <n v="87.6"/>
    <n v="91.8"/>
    <n v="64"/>
    <n v="84.7"/>
    <s v="Unknown"/>
    <s v="Computer Science"/>
    <x v="2"/>
    <s v="Unknown"/>
    <s v="Unknown"/>
  </r>
  <r>
    <s v="STD0220"/>
    <s v="Business Administration"/>
    <n v="74.3"/>
    <n v="81.900000000000006"/>
    <n v="63.7"/>
    <n v="34.4"/>
    <s v="At Risk"/>
    <s v="Business Administration"/>
    <x v="1"/>
    <s v="At Risk"/>
    <s v="At Risk"/>
  </r>
  <r>
    <s v="STD0014"/>
    <s v="Data Science"/>
    <n v="82.6"/>
    <n v="68"/>
    <n v="63.6"/>
    <n v="58.9"/>
    <s v="Good Standing"/>
    <s v="Data Science"/>
    <x v="0"/>
    <s v="Good Standing"/>
    <s v="Good Standing"/>
  </r>
  <r>
    <s v="STD0154"/>
    <s v="Computer Science"/>
    <n v="74"/>
    <n v="60.3"/>
    <n v="63.5"/>
    <n v="71"/>
    <s v="Good Standing"/>
    <s v="Computer Science"/>
    <x v="0"/>
    <s v="Good Standing"/>
    <s v="Good Standing"/>
  </r>
  <r>
    <s v="STD0012"/>
    <s v="Unknown"/>
    <n v="100"/>
    <n v="77.099999999999994"/>
    <n v="63.3"/>
    <n v="79"/>
    <s v="Good Standing"/>
    <s v="Unknown"/>
    <x v="0"/>
    <s v="Good Standing"/>
    <s v="Good Standing"/>
  </r>
  <r>
    <s v="STD0127"/>
    <s v="Data Science"/>
    <n v="88.4"/>
    <n v="41"/>
    <n v="63"/>
    <n v="60.2"/>
    <s v="Good Standing"/>
    <s v="Data Science"/>
    <x v="0"/>
    <s v="Good Standing"/>
    <s v="Good Standing"/>
  </r>
  <r>
    <s v="STD0240"/>
    <s v="Business Administration"/>
    <n v="99.5"/>
    <n v="92.7"/>
    <n v="62.7"/>
    <n v="81.400000000000006"/>
    <s v="Good Standing"/>
    <s v="Business Administration"/>
    <x v="0"/>
    <s v="Good Standing"/>
    <s v="Good Standing"/>
  </r>
  <r>
    <s v="STD0221"/>
    <s v="Engineering"/>
    <n v="88"/>
    <n v="94.1"/>
    <n v="62.6"/>
    <n v="46.8"/>
    <s v="Good Standing"/>
    <s v="Engineering"/>
    <x v="0"/>
    <s v="Good Standing"/>
    <s v="Good Standing"/>
  </r>
  <r>
    <s v="STD0029"/>
    <s v="Data Science"/>
    <n v="69.599999999999994"/>
    <n v="69.099999999999994"/>
    <n v="62.5"/>
    <n v="76.099999999999994"/>
    <s v="At Risk"/>
    <s v="Data Science"/>
    <x v="1"/>
    <s v="At Risk"/>
    <s v="At Risk"/>
  </r>
  <r>
    <s v="STD0233"/>
    <s v="Business Administration"/>
    <n v="70.900000000000006"/>
    <n v="76.099999999999994"/>
    <n v="62.4"/>
    <n v="92.1"/>
    <s v="Good Standing"/>
    <s v="Business Administration"/>
    <x v="0"/>
    <s v="Good Standing"/>
    <s v="Good Standing"/>
  </r>
  <r>
    <s v="STD0176"/>
    <s v="Unknown"/>
    <n v="92.2"/>
    <n v="79.7"/>
    <n v="62"/>
    <n v="60.3"/>
    <s v="Good Standing"/>
    <s v="Unknown"/>
    <x v="0"/>
    <s v="Good Standing"/>
    <s v="Good Standing"/>
  </r>
  <r>
    <s v="STD0178"/>
    <s v="Computer Science"/>
    <n v="77.7"/>
    <n v="69.8"/>
    <n v="61.9"/>
    <n v="70.7"/>
    <s v="Unknown"/>
    <s v="Computer Science"/>
    <x v="2"/>
    <s v="Unknown"/>
    <s v="Unknown"/>
  </r>
  <r>
    <s v="STD0063"/>
    <s v="Public Health"/>
    <n v="93.7"/>
    <n v="74.099999999999994"/>
    <n v="61.7"/>
    <n v="65"/>
    <s v="Good Standing"/>
    <s v="Public Health"/>
    <x v="0"/>
    <s v="Good Standing"/>
    <s v="Good Standing"/>
  </r>
  <r>
    <s v="STD0117"/>
    <s v="Public Health"/>
    <n v="69.900000000000006"/>
    <n v="80.599999999999994"/>
    <n v="61.3"/>
    <n v="97.7"/>
    <s v="Good Standing"/>
    <s v="Public Health"/>
    <x v="0"/>
    <s v="Good Standing"/>
    <s v="Good Standing"/>
  </r>
  <r>
    <s v="STD0275"/>
    <s v="Engineering"/>
    <n v="80.7"/>
    <n v="99.4"/>
    <n v="61.2"/>
    <n v="58.2"/>
    <s v="Good Standing"/>
    <s v="Engineering"/>
    <x v="0"/>
    <s v="Good Standing"/>
    <s v="Good Standing"/>
  </r>
  <r>
    <s v="STD0068"/>
    <s v="Engineering"/>
    <n v="58.7"/>
    <n v="60.2"/>
    <n v="61.2"/>
    <n v="46.5"/>
    <s v="Good Standing"/>
    <s v="Engineering"/>
    <x v="0"/>
    <s v="Good Standing"/>
    <s v="Good Standing"/>
  </r>
  <r>
    <s v="STD0134"/>
    <s v="Engineering"/>
    <n v="63.9"/>
    <n v="100"/>
    <n v="61.1"/>
    <n v="65.599999999999994"/>
    <s v="Good Standing"/>
    <s v="Engineering"/>
    <x v="0"/>
    <s v="Good Standing"/>
    <s v="Good Standing"/>
  </r>
  <r>
    <s v="STD0281"/>
    <s v="Data Science"/>
    <n v="94.1"/>
    <n v="86.7"/>
    <n v="61"/>
    <n v="38.700000000000003"/>
    <s v="Good Standing"/>
    <s v="Data Science"/>
    <x v="0"/>
    <s v="Good Standing"/>
    <s v="Good Standing"/>
  </r>
  <r>
    <s v="STD0017"/>
    <s v="Unknown"/>
    <n v="82.5"/>
    <n v="69.099999999999994"/>
    <n v="61"/>
    <n v="55.4"/>
    <s v="Good Standing"/>
    <s v="Unknown"/>
    <x v="0"/>
    <s v="Good Standing"/>
    <s v="Good Standing"/>
  </r>
  <r>
    <s v="STD0106"/>
    <s v="Public Health"/>
    <n v="86.6"/>
    <n v="59.5"/>
    <n v="60.9"/>
    <n v="49.8"/>
    <s v="Good Standing"/>
    <s v="Public Health"/>
    <x v="0"/>
    <s v="Good Standing"/>
    <s v="Good Standing"/>
  </r>
  <r>
    <s v="STD0066"/>
    <s v="Public Health"/>
    <n v="82.7"/>
    <n v="63.9"/>
    <n v="60.4"/>
    <n v="87.6"/>
    <s v="Good Standing"/>
    <s v="Public Health"/>
    <x v="0"/>
    <s v="Good Standing"/>
    <s v="Good Standing"/>
  </r>
  <r>
    <s v="STD0089"/>
    <s v="Computer Science"/>
    <n v="57.2"/>
    <n v="69.8"/>
    <n v="60.4"/>
    <n v="93"/>
    <s v="Good Standing"/>
    <s v="Computer Science"/>
    <x v="0"/>
    <s v="Good Standing"/>
    <s v="Good Standing"/>
  </r>
  <r>
    <s v="STD0195"/>
    <s v="Public Health"/>
    <n v="81.599999999999994"/>
    <n v="52.8"/>
    <n v="60.2"/>
    <n v="93"/>
    <s v="Unknown"/>
    <s v="Public Health"/>
    <x v="2"/>
    <s v="Unknown"/>
    <s v="Unknown"/>
  </r>
  <r>
    <s v="STD0040"/>
    <s v="Unknown"/>
    <n v="100"/>
    <n v="50.8"/>
    <n v="59.7"/>
    <n v="78.599999999999994"/>
    <s v="Good Standing"/>
    <s v="Unknown"/>
    <x v="0"/>
    <s v="Good Standing"/>
    <s v="Good Standing"/>
  </r>
  <r>
    <s v="STD0121"/>
    <s v="Engineering"/>
    <n v="98.3"/>
    <n v="92.3"/>
    <n v="59.5"/>
    <n v="69.8"/>
    <s v="At Risk"/>
    <s v="Engineering"/>
    <x v="1"/>
    <s v="At Risk"/>
    <s v="At Risk"/>
  </r>
  <r>
    <s v="STD0088"/>
    <s v="Economics"/>
    <n v="68.900000000000006"/>
    <n v="86"/>
    <n v="59.3"/>
    <n v="52.2"/>
    <s v="Good Standing"/>
    <s v="Economics"/>
    <x v="0"/>
    <s v="Good Standing"/>
    <s v="Good Standing"/>
  </r>
  <r>
    <s v="STD0254"/>
    <s v="Engineering"/>
    <n v="86"/>
    <n v="57.7"/>
    <n v="59.3"/>
    <n v="87.8"/>
    <s v="Good Standing"/>
    <s v="Engineering"/>
    <x v="0"/>
    <s v="Good Standing"/>
    <s v="Good Standing"/>
  </r>
  <r>
    <s v="STD0032"/>
    <s v="Business Administration"/>
    <n v="65.400000000000006"/>
    <n v="51.2"/>
    <n v="59.2"/>
    <n v="76.599999999999994"/>
    <s v="Good Standing"/>
    <s v="Business Administration"/>
    <x v="0"/>
    <s v="Good Standing"/>
    <s v="Good Standing"/>
  </r>
  <r>
    <s v="STD0223"/>
    <s v="Business Administration"/>
    <n v="77.8"/>
    <n v="69.8"/>
    <n v="59.2"/>
    <n v="83.6"/>
    <s v="Good Standing"/>
    <s v="Business Administration"/>
    <x v="0"/>
    <s v="Good Standing"/>
    <s v="Good Standing"/>
  </r>
  <r>
    <s v="STD0124"/>
    <s v="Public Health"/>
    <n v="55.2"/>
    <n v="37.799999999999997"/>
    <n v="59.1"/>
    <n v="71.2"/>
    <s v="At Risk"/>
    <s v="Public Health"/>
    <x v="1"/>
    <s v="At Risk"/>
    <s v="At Risk"/>
  </r>
  <r>
    <s v="STD0185"/>
    <s v="Unknown"/>
    <n v="86.4"/>
    <n v="86.8"/>
    <n v="58.9"/>
    <n v="56.6"/>
    <s v="Good Standing"/>
    <s v="Unknown"/>
    <x v="0"/>
    <s v="Good Standing"/>
    <s v="Good Standing"/>
  </r>
  <r>
    <s v="STD0024"/>
    <s v="Engineering"/>
    <n v="73.400000000000006"/>
    <n v="23.5"/>
    <n v="58.7"/>
    <n v="80.8"/>
    <s v="At Risk"/>
    <s v="Engineering"/>
    <x v="1"/>
    <s v="At Risk"/>
    <s v="At Risk"/>
  </r>
  <r>
    <s v="STD0213"/>
    <s v="Computer Science"/>
    <n v="58.7"/>
    <n v="88.4"/>
    <n v="58.4"/>
    <n v="85.8"/>
    <s v="Good Standing"/>
    <s v="Computer Science"/>
    <x v="0"/>
    <s v="Good Standing"/>
    <s v="Good Standing"/>
  </r>
  <r>
    <s v="STD0213"/>
    <s v="Unknown"/>
    <n v="85.8"/>
    <n v="88.4"/>
    <n v="58.4"/>
    <n v="85.8"/>
    <s v="Good Standing"/>
    <s v="Unknown"/>
    <x v="0"/>
    <s v="Good Standing"/>
    <s v="Good Standing"/>
  </r>
  <r>
    <s v="STD0080"/>
    <s v="Computer Science"/>
    <n v="88.9"/>
    <n v="68.900000000000006"/>
    <n v="58.3"/>
    <n v="74.400000000000006"/>
    <s v="At Risk"/>
    <s v="Computer Science"/>
    <x v="1"/>
    <s v="At Risk"/>
    <s v="At Risk"/>
  </r>
  <r>
    <s v="STD0149"/>
    <s v="Data Science"/>
    <n v="69.400000000000006"/>
    <n v="95.1"/>
    <n v="58.3"/>
    <n v="88.9"/>
    <s v="Unknown"/>
    <s v="Data Science"/>
    <x v="2"/>
    <s v="Unknown"/>
    <s v="Unknown"/>
  </r>
  <r>
    <s v="STD0082"/>
    <s v="Economics"/>
    <n v="58.7"/>
    <n v="67.3"/>
    <n v="58.2"/>
    <n v="33.700000000000003"/>
    <s v="Good Standing"/>
    <s v="Economics"/>
    <x v="0"/>
    <s v="Good Standing"/>
    <s v="Good Standing"/>
  </r>
  <r>
    <s v="STD0102"/>
    <s v="Business Administration"/>
    <n v="91.7"/>
    <n v="63.1"/>
    <n v="58.1"/>
    <n v="87.1"/>
    <s v="Good Standing"/>
    <s v="Business Administration"/>
    <x v="0"/>
    <s v="Good Standing"/>
    <s v="Good Standing"/>
  </r>
  <r>
    <s v="unknow"/>
    <s v="Economics"/>
    <n v="87.6"/>
    <n v="93.9"/>
    <n v="58"/>
    <s v="Unknown"/>
    <s v="Good Standing"/>
    <s v="Economics"/>
    <x v="0"/>
    <s v="Good Standing"/>
    <s v="Good Standing"/>
  </r>
  <r>
    <s v="STD0025"/>
    <s v="Data Science"/>
    <n v="65.2"/>
    <s v="Unknown"/>
    <n v="58"/>
    <n v="91"/>
    <s v="Good Standing"/>
    <s v="Data Science"/>
    <x v="0"/>
    <s v="Good Standing"/>
    <s v="Good Standing"/>
  </r>
  <r>
    <s v="STD0225"/>
    <s v="Computer Science"/>
    <n v="91.4"/>
    <n v="69.900000000000006"/>
    <n v="58"/>
    <n v="82.8"/>
    <s v="At Risk"/>
    <s v="Computer Science"/>
    <x v="1"/>
    <s v="At Risk"/>
    <s v="At Risk"/>
  </r>
  <r>
    <s v="STD0292"/>
    <s v="Computer Science"/>
    <n v="100"/>
    <n v="69.8"/>
    <n v="57.9"/>
    <n v="78.8"/>
    <s v="Good Standing"/>
    <s v="Computer Science"/>
    <x v="0"/>
    <s v="Good Standing"/>
    <s v="Good Standing"/>
  </r>
  <r>
    <s v="STD0151"/>
    <s v="Computer Science"/>
    <n v="71.8"/>
    <n v="100"/>
    <n v="57.1"/>
    <n v="92.2"/>
    <s v="Unknown"/>
    <s v="Computer Science"/>
    <x v="2"/>
    <s v="Unknown"/>
    <s v="Unknown"/>
  </r>
  <r>
    <s v="STD0260"/>
    <s v="Data Science"/>
    <n v="76.099999999999994"/>
    <n v="77.5"/>
    <n v="56.8"/>
    <n v="100"/>
    <s v="Good Standing"/>
    <s v="Data Science"/>
    <x v="0"/>
    <s v="Good Standing"/>
    <s v="Good Standing"/>
  </r>
  <r>
    <s v="STD0278"/>
    <s v="Data Science"/>
    <n v="77.599999999999994"/>
    <n v="60.2"/>
    <n v="56.7"/>
    <n v="71.543880000000001"/>
    <s v="Good Standing"/>
    <s v="Data Science"/>
    <x v="0"/>
    <s v="Good Standing"/>
    <s v="Good Standing"/>
  </r>
  <r>
    <s v="STD0035"/>
    <s v="Business Administration"/>
    <n v="78"/>
    <n v="54.4"/>
    <n v="56.4"/>
    <n v="82.6"/>
    <s v="Good Standing"/>
    <s v="Business Administration"/>
    <x v="0"/>
    <s v="Good Standing"/>
    <s v="Good Standing"/>
  </r>
  <r>
    <s v="STD0079"/>
    <s v="Economics"/>
    <n v="73.599999999999994"/>
    <n v="84.8"/>
    <n v="56.4"/>
    <n v="65.2"/>
    <s v="Good Standing"/>
    <s v="Economics"/>
    <x v="0"/>
    <s v="Good Standing"/>
    <s v="Good Standing"/>
  </r>
  <r>
    <s v="STD0155"/>
    <s v="Public Health"/>
    <n v="84.5"/>
    <n v="63.5"/>
    <n v="56.2"/>
    <n v="85.4"/>
    <s v="At Risk"/>
    <s v="Public Health"/>
    <x v="1"/>
    <s v="At Risk"/>
    <s v="At Risk"/>
  </r>
  <r>
    <s v="STD0188"/>
    <s v="Business Administration"/>
    <n v="88.4"/>
    <n v="67.599999999999994"/>
    <n v="56"/>
    <n v="66.2"/>
    <s v="Good Standing"/>
    <s v="Business Administration"/>
    <x v="0"/>
    <s v="Good Standing"/>
    <s v="Good Standing"/>
  </r>
  <r>
    <s v="STD0048"/>
    <s v="Computer Science"/>
    <n v="72.900000000000006"/>
    <n v="67.599999999999994"/>
    <n v="55.4"/>
    <n v="77.5"/>
    <s v="Good Standing"/>
    <s v="Computer Science"/>
    <x v="0"/>
    <s v="Good Standing"/>
    <s v="Good Standing"/>
  </r>
  <r>
    <s v="STD0071"/>
    <s v="Computer Science"/>
    <n v="88.6"/>
    <n v="77.400000000000006"/>
    <n v="54.8"/>
    <n v="50.6"/>
    <s v="Good Standing"/>
    <s v="Computer Science"/>
    <x v="0"/>
    <s v="Good Standing"/>
    <s v="Good Standing"/>
  </r>
  <r>
    <s v="STD0200"/>
    <s v="Business Administration"/>
    <n v="97.4"/>
    <n v="78.3"/>
    <n v="54"/>
    <n v="66.2"/>
    <s v="Good Standing"/>
    <s v="Business Administration"/>
    <x v="0"/>
    <s v="Good Standing"/>
    <s v="Good Standing"/>
  </r>
  <r>
    <s v="STD0172"/>
    <s v="Business Administration"/>
    <n v="94.1"/>
    <n v="55.5"/>
    <n v="54"/>
    <n v="65.900000000000006"/>
    <s v="At Risk"/>
    <s v="Business Administration"/>
    <x v="1"/>
    <s v="At Risk"/>
    <s v="At Risk"/>
  </r>
  <r>
    <s v="STD0263"/>
    <s v="Unknown"/>
    <n v="82"/>
    <n v="84.8"/>
    <n v="53.7"/>
    <n v="91.3"/>
    <s v="Good Standing"/>
    <s v="Unknown"/>
    <x v="0"/>
    <s v="Good Standing"/>
    <s v="Good Standing"/>
  </r>
  <r>
    <s v="STD0069"/>
    <s v="Business Administration"/>
    <n v="78.3"/>
    <n v="86.8"/>
    <n v="53.4"/>
    <n v="68.5"/>
    <s v="At Risk"/>
    <s v="Business Administration"/>
    <x v="1"/>
    <s v="At Risk"/>
    <s v="At Risk"/>
  </r>
  <r>
    <s v="STD0143"/>
    <s v="Computer Science"/>
    <n v="61.5"/>
    <n v="75.7"/>
    <n v="53.3"/>
    <n v="72"/>
    <s v="Good Standing"/>
    <s v="Computer Science"/>
    <x v="0"/>
    <s v="Good Standing"/>
    <s v="Good Standing"/>
  </r>
  <r>
    <s v="STD0250"/>
    <s v="Computer Science"/>
    <n v="72.900000000000006"/>
    <n v="62.8"/>
    <n v="53.1"/>
    <n v="81.400000000000006"/>
    <s v="Good Standing"/>
    <s v="Computer Science"/>
    <x v="0"/>
    <s v="Good Standing"/>
    <s v="Good Standing"/>
  </r>
  <r>
    <s v="STD0083"/>
    <s v="Data Science"/>
    <n v="86.2"/>
    <n v="88"/>
    <n v="52.9"/>
    <n v="70.2"/>
    <s v="Good Standing"/>
    <s v="Data Science"/>
    <x v="0"/>
    <s v="Good Standing"/>
    <s v="Good Standing"/>
  </r>
  <r>
    <s v="STD0142"/>
    <s v="Public Health"/>
    <n v="58.7"/>
    <n v="52"/>
    <n v="52.5"/>
    <n v="90.8"/>
    <s v="At Risk"/>
    <s v="Public Health"/>
    <x v="1"/>
    <s v="At Risk"/>
    <s v="At Risk"/>
  </r>
  <r>
    <s v="STD0112"/>
    <s v="Business Administration"/>
    <n v="55.6"/>
    <n v="93.7"/>
    <n v="52.4"/>
    <n v="86.7"/>
    <s v="At Risk"/>
    <s v="Business Administration"/>
    <x v="1"/>
    <s v="At Risk"/>
    <s v="At Risk"/>
  </r>
  <r>
    <s v="STD0004"/>
    <s v="Data Science"/>
    <n v="58.7"/>
    <n v="82.8"/>
    <n v="52.4"/>
    <n v="80.3"/>
    <s v="Unknown"/>
    <s v="Data Science"/>
    <x v="2"/>
    <s v="Unknown"/>
    <s v="Unknown"/>
  </r>
  <r>
    <s v="unknow"/>
    <s v="Data Science"/>
    <n v="80.900000000000006"/>
    <n v="100"/>
    <n v="52"/>
    <n v="100"/>
    <s v="Good Standing"/>
    <s v="Data Science"/>
    <x v="0"/>
    <s v="Good Standing"/>
    <s v="Good Standing"/>
  </r>
  <r>
    <s v="STD0171"/>
    <s v="Engineering"/>
    <n v="84.5"/>
    <n v="100"/>
    <n v="51.9"/>
    <n v="69.400000000000006"/>
    <s v="Unknown"/>
    <s v="Engineering"/>
    <x v="2"/>
    <s v="Unknown"/>
    <s v="Unknown"/>
  </r>
  <r>
    <s v="STD0162"/>
    <s v="Unknown"/>
    <n v="93.7"/>
    <n v="73.599999999999994"/>
    <n v="51.5"/>
    <n v="89"/>
    <s v="Good Standing"/>
    <s v="Unknown"/>
    <x v="0"/>
    <s v="Good Standing"/>
    <s v="Good Standing"/>
  </r>
  <r>
    <s v="STD0211"/>
    <s v="Business Administration"/>
    <n v="90"/>
    <n v="61.3"/>
    <n v="51.2"/>
    <n v="86.8"/>
    <s v="Good Standing"/>
    <s v="Business Administration"/>
    <x v="0"/>
    <s v="Good Standing"/>
    <s v="Good Standing"/>
  </r>
  <r>
    <s v="STD0274"/>
    <s v="Data Science"/>
    <n v="89.6"/>
    <n v="53.1"/>
    <n v="51"/>
    <n v="71.543880000000001"/>
    <s v="Good Standing"/>
    <s v="Data Science"/>
    <x v="0"/>
    <s v="Good Standing"/>
    <s v="Good Standing"/>
  </r>
  <r>
    <s v="unknow"/>
    <s v="Engineering"/>
    <n v="79.5"/>
    <n v="64.400000000000006"/>
    <n v="50.7"/>
    <n v="50.9"/>
    <s v="Good Standing"/>
    <s v="Engineering"/>
    <x v="0"/>
    <s v="Good Standing"/>
    <s v="Good Standing"/>
  </r>
  <r>
    <s v="STD0078"/>
    <s v="Data Science"/>
    <n v="95.3"/>
    <n v="70.3"/>
    <n v="50.1"/>
    <n v="61"/>
    <s v="Good Standing"/>
    <s v="Data Science"/>
    <x v="0"/>
    <s v="Good Standing"/>
    <s v="Good Standing"/>
  </r>
  <r>
    <s v="STD0280"/>
    <s v="Data Science"/>
    <n v="100"/>
    <n v="78.8"/>
    <n v="49.9"/>
    <n v="66.8"/>
    <s v="Good Standing"/>
    <s v="Data Science"/>
    <x v="0"/>
    <s v="Good Standing"/>
    <s v="Good Standing"/>
  </r>
  <r>
    <s v="STD0103"/>
    <s v="Business Administration"/>
    <n v="67.2"/>
    <n v="100"/>
    <n v="49.8"/>
    <n v="71.543880000000001"/>
    <s v="At Risk"/>
    <s v="Business Administration"/>
    <x v="0"/>
    <s v="At Risk"/>
    <s v="At Risk"/>
  </r>
  <r>
    <s v="STD0193"/>
    <s v="Business Administration"/>
    <n v="85.8"/>
    <n v="87.9"/>
    <n v="49.7"/>
    <n v="40.799999999999997"/>
    <s v="Good Standing"/>
    <s v="Business Administration"/>
    <x v="0"/>
    <s v="Good Standing"/>
    <s v="Good Standing"/>
  </r>
  <r>
    <s v="STD0229"/>
    <s v="Public Health"/>
    <n v="58.7"/>
    <n v="69.8"/>
    <n v="49.5"/>
    <n v="71.543880000000001"/>
    <s v="Good Standing"/>
    <s v="Public Health"/>
    <x v="0"/>
    <s v="Good Standing"/>
    <s v="Good Standing"/>
  </r>
  <r>
    <s v="STD0272"/>
    <s v="Public Health"/>
    <n v="95.4"/>
    <n v="53.1"/>
    <n v="49.5"/>
    <n v="76.2"/>
    <s v="Good Standing"/>
    <s v="Public Health"/>
    <x v="0"/>
    <s v="Good Standing"/>
    <s v="Good Standing"/>
  </r>
  <r>
    <s v="STD0045"/>
    <s v="Computer Science"/>
    <n v="87.6"/>
    <n v="91.8"/>
    <n v="49.5"/>
    <n v="84.7"/>
    <s v="Good Standing"/>
    <s v="Computer Science"/>
    <x v="0"/>
    <s v="Good Standing"/>
    <s v="Good Standing"/>
  </r>
  <r>
    <s v="STD0097"/>
    <s v="Business Administration"/>
    <n v="74.099999999999994"/>
    <n v="96"/>
    <n v="49.5"/>
    <n v="58"/>
    <s v="Good Standing"/>
    <s v="Business Administration"/>
    <x v="0"/>
    <s v="Good Standing"/>
    <s v="Good Standing"/>
  </r>
  <r>
    <s v="STD0214"/>
    <s v="Public Health"/>
    <n v="96.1"/>
    <s v="-"/>
    <n v="49.5"/>
    <n v="83.8"/>
    <s v="At Risk"/>
    <s v="Public Health"/>
    <x v="0"/>
    <s v="At Risk"/>
    <s v="At Risk"/>
  </r>
  <r>
    <s v="STD0053"/>
    <s v="Data Science"/>
    <n v="91.7"/>
    <n v="78.3"/>
    <n v="49.5"/>
    <n v="57.3"/>
    <s v="Good Standing"/>
    <s v="Data Science"/>
    <x v="0"/>
    <s v="Good Standing"/>
    <s v="Good Standing"/>
  </r>
  <r>
    <s v="STD0093"/>
    <s v="Business Administration"/>
    <n v="95.6"/>
    <n v="53.2"/>
    <n v="49.5"/>
    <n v="78.7"/>
    <s v="Good Standing"/>
    <s v="Business Administration"/>
    <x v="0"/>
    <s v="Good Standing"/>
    <s v="Good Standing"/>
  </r>
  <r>
    <s v="STD0118"/>
    <s v="Business Administration"/>
    <n v="96.3"/>
    <n v="70.900000000000006"/>
    <n v="49.5"/>
    <n v="57.9"/>
    <s v="At Risk"/>
    <s v="Business Administration"/>
    <x v="1"/>
    <s v="At Risk"/>
    <s v="At Risk"/>
  </r>
  <r>
    <s v="STD0098"/>
    <s v="Business Administration"/>
    <n v="80.7"/>
    <n v="100"/>
    <n v="49.5"/>
    <n v="72.3"/>
    <s v="Good Standing"/>
    <s v="Business Administration"/>
    <x v="0"/>
    <s v="Good Standing"/>
    <s v="Good Standing"/>
  </r>
  <r>
    <s v="STD0168"/>
    <s v="Economics"/>
    <n v="58.7"/>
    <n v="75.3"/>
    <n v="49.5"/>
    <n v="83.6"/>
    <s v="Good Standing"/>
    <s v="Economics"/>
    <x v="1"/>
    <s v="Good Standing"/>
    <s v="Good Standing"/>
  </r>
  <r>
    <s v="STD0181"/>
    <s v="Economics"/>
    <n v="72.099999999999994"/>
    <n v="61.7"/>
    <n v="49.5"/>
    <n v="59.5"/>
    <s v="At Risk"/>
    <s v="Economics"/>
    <x v="0"/>
    <s v="At Risk"/>
    <s v="At Risk"/>
  </r>
  <r>
    <s v="STD0227"/>
    <s v="Engineering"/>
    <n v="68.900000000000006"/>
    <n v="60.9"/>
    <n v="49.5"/>
    <n v="77.2"/>
    <s v="At Risk"/>
    <s v="Engineering"/>
    <x v="0"/>
    <s v="At Risk"/>
    <s v="At Risk"/>
  </r>
  <r>
    <s v="STD0206"/>
    <s v="Computer Science"/>
    <n v="74.900000000000006"/>
    <n v="85.2"/>
    <n v="49.5"/>
    <n v="64.099999999999994"/>
    <s v="Good Standing"/>
    <s v="Computer Science"/>
    <x v="0"/>
    <s v="Good Standing"/>
    <s v="Good Standing"/>
  </r>
  <r>
    <s v="STD0042"/>
    <s v="Computer Science"/>
    <n v="90"/>
    <n v="87.2"/>
    <n v="49.5"/>
    <n v="88.9"/>
    <s v="Good Standing"/>
    <s v="Computer Science"/>
    <x v="1"/>
    <s v="Good Standing"/>
    <s v="Good Standing"/>
  </r>
  <r>
    <s v="STD0239"/>
    <s v="Data Science"/>
    <n v="92.8"/>
    <n v="64.8"/>
    <n v="49.5"/>
    <n v="60.7"/>
    <s v="Good Standing"/>
    <s v="Data Science"/>
    <x v="0"/>
    <s v="Good Standing"/>
    <s v="Good Standing"/>
  </r>
  <r>
    <s v="STD0059"/>
    <s v="Computer Science"/>
    <n v="88.7"/>
    <n v="84"/>
    <n v="49.5"/>
    <n v="53.3"/>
    <s v="Unknown"/>
    <s v="Computer Science"/>
    <x v="0"/>
    <s v="Unknown"/>
    <s v="Unknown"/>
  </r>
  <r>
    <s v="STD0139"/>
    <s v="Public Health"/>
    <n v="84.9"/>
    <n v="80.7"/>
    <n v="49.5"/>
    <n v="49.2"/>
    <s v="Good Standing"/>
    <s v="Public Health"/>
    <x v="1"/>
    <s v="Good Standing"/>
    <s v="Good Standing"/>
  </r>
  <r>
    <s v="STD0257"/>
    <s v="Data Science"/>
    <n v="79.900000000000006"/>
    <n v="62.6"/>
    <n v="49.5"/>
    <n v="62.3"/>
    <s v="Unknown"/>
    <s v="Data Science"/>
    <x v="0"/>
    <s v="Unknown"/>
    <s v="Unknown"/>
  </r>
  <r>
    <s v="STD0204"/>
    <s v="Public Health"/>
    <n v="75.2"/>
    <n v="76.400000000000006"/>
    <n v="49.5"/>
    <n v="98.9"/>
    <s v="Good Standing"/>
    <s v="Public Health"/>
    <x v="0"/>
    <s v="Good Standing"/>
    <s v="Good Standing"/>
  </r>
  <r>
    <s v="STD0150"/>
    <s v="Engineering"/>
    <n v="69.900000000000006"/>
    <n v="80.7"/>
    <n v="49.5"/>
    <n v="88.2"/>
    <s v="Good Standing"/>
    <s v="Engineering"/>
    <x v="0"/>
    <s v="Good Standing"/>
    <s v="Good Standing"/>
  </r>
  <r>
    <s v="STD0267"/>
    <s v="Unknown"/>
    <n v="93.2"/>
    <n v="70.8"/>
    <n v="49.3"/>
    <n v="45.8"/>
    <s v="Good Standing"/>
    <s v="Unknown"/>
    <x v="0"/>
    <s v="Good Standing"/>
    <s v="Good Standing"/>
  </r>
  <r>
    <s v="STD0158"/>
    <s v="Computer Science"/>
    <n v="78.3"/>
    <n v="57"/>
    <n v="49"/>
    <n v="85.7"/>
    <s v="At Risk"/>
    <s v="Computer Science"/>
    <x v="0"/>
    <s v="At Risk"/>
    <s v="At Risk"/>
  </r>
  <r>
    <s v="STD0210"/>
    <s v="Business Administration"/>
    <n v="77.3"/>
    <n v="67.5"/>
    <n v="48.8"/>
    <n v="66.599999999999994"/>
    <s v="Good Standing"/>
    <s v="Business Administration"/>
    <x v="1"/>
    <s v="Good Standing"/>
    <s v="Good Standing"/>
  </r>
  <r>
    <s v="STD0104"/>
    <s v="Business Administration"/>
    <n v="92"/>
    <n v="52.1"/>
    <n v="48.5"/>
    <n v="99.8"/>
    <s v="Good Standing"/>
    <s v="Business Administration"/>
    <x v="0"/>
    <s v="Good Standing"/>
    <s v="Good Standing"/>
  </r>
  <r>
    <s v="STD0246"/>
    <s v="Data Science"/>
    <n v="77.900000000000006"/>
    <n v="97.9"/>
    <n v="48.1"/>
    <n v="46"/>
    <s v="Good Standing"/>
    <s v="Data Science"/>
    <x v="0"/>
    <s v="Good Standing"/>
    <s v="Good Standing"/>
  </r>
  <r>
    <s v="STD0144"/>
    <s v="Economics"/>
    <n v="90.6"/>
    <n v="60.9"/>
    <n v="48"/>
    <n v="39.200000000000003"/>
    <s v="Good Standing"/>
    <s v="Economics"/>
    <x v="0"/>
    <s v="Good Standing"/>
    <s v="Good Standing"/>
  </r>
  <r>
    <s v="STD0132"/>
    <s v="Computer Science"/>
    <n v="45.5"/>
    <n v="52.9"/>
    <n v="47.8"/>
    <n v="45.5"/>
    <s v="Good Standing"/>
    <s v="Computer Science"/>
    <x v="0"/>
    <s v="Good Standing"/>
    <s v="Good Standing"/>
  </r>
  <r>
    <s v="STD0132"/>
    <s v="Computer Science"/>
    <n v="45.5"/>
    <n v="-1"/>
    <n v="47.8"/>
    <n v="45.5"/>
    <s v="Good Standing"/>
    <s v="Computer Science"/>
    <x v="1"/>
    <s v="Good Standing"/>
    <s v="Good Standing"/>
  </r>
  <r>
    <s v="STD0061"/>
    <s v="Public Health"/>
    <n v="62.8"/>
    <n v="82.1"/>
    <n v="47.3"/>
    <n v="68.599999999999994"/>
    <s v="At Risk"/>
    <s v="Public Health"/>
    <x v="0"/>
    <s v="At Risk"/>
    <s v="At Risk"/>
  </r>
  <r>
    <s v="STD0245"/>
    <s v="Business Administration"/>
    <n v="62.9"/>
    <n v="64.2"/>
    <n v="46.4"/>
    <n v="100"/>
    <s v="Good Standing"/>
    <s v="Business Administration"/>
    <x v="1"/>
    <s v="Good Standing"/>
    <s v="Good Standing"/>
  </r>
  <r>
    <s v="STD0141"/>
    <s v="Public Health"/>
    <n v="92.4"/>
    <n v="50.8"/>
    <n v="45.7"/>
    <n v="77.2"/>
    <s v="Good Standing"/>
    <s v="Public Health"/>
    <x v="1"/>
    <s v="Good Standing"/>
    <s v="Good Standing"/>
  </r>
  <r>
    <s v="STD0201"/>
    <s v="Business Administration"/>
    <n v="96.6"/>
    <n v="68.900000000000006"/>
    <n v="45.6"/>
    <n v="85"/>
    <s v="Good Standing"/>
    <s v="Business Administration"/>
    <x v="2"/>
    <s v="Good Standing"/>
    <s v="Good Standing"/>
  </r>
  <r>
    <s v="STD0201"/>
    <s v="Business Administration"/>
    <n v="96.6"/>
    <n v="69.8"/>
    <n v="45.6"/>
    <n v="85"/>
    <s v="Good Standing"/>
    <s v="Business Administration"/>
    <x v="0"/>
    <s v="Good Standing"/>
    <s v="Good Standing"/>
  </r>
  <r>
    <s v="unknow"/>
    <s v="Data Science"/>
    <n v="76.099999999999994"/>
    <n v="49"/>
    <n v="44.8"/>
    <n v="42"/>
    <s v="Good Standing"/>
    <s v="Data Science"/>
    <x v="0"/>
    <s v="Good Standing"/>
    <s v="Good Standing"/>
  </r>
  <r>
    <s v="STD0262"/>
    <s v="Economics"/>
    <n v="75.599999999999994"/>
    <n v="30.3"/>
    <n v="44.7"/>
    <n v="70.599999999999994"/>
    <s v="Good Standing"/>
    <s v="Economics"/>
    <x v="1"/>
    <s v="Good Standing"/>
    <s v="Good Standing"/>
  </r>
  <r>
    <s v="STD0202"/>
    <s v="Data Science"/>
    <n v="79.099999999999994"/>
    <n v="45.6"/>
    <n v="44.6"/>
    <n v="76.5"/>
    <s v="Good Standing"/>
    <s v="Data Science"/>
    <x v="0"/>
    <s v="Good Standing"/>
    <s v="Good Standing"/>
  </r>
  <r>
    <s v="STD0113"/>
    <s v="Computer Science"/>
    <n v="83.8"/>
    <n v="72.2"/>
    <n v="44.1"/>
    <n v="71.543880000000001"/>
    <s v="Unknown"/>
    <s v="Computer Science"/>
    <x v="0"/>
    <s v="Unknown"/>
    <s v="Unknown"/>
  </r>
  <r>
    <s v="STD0199"/>
    <s v="Computer Science"/>
    <n v="89.2"/>
    <n v="65.2"/>
    <n v="43.5"/>
    <n v="71.543880000000001"/>
    <s v="Good Standing"/>
    <s v="Computer Science"/>
    <x v="0"/>
    <s v="Good Standing"/>
    <s v="Good Standing"/>
  </r>
  <r>
    <s v="STD0256"/>
    <s v="Computer Science"/>
    <n v="81.400000000000006"/>
    <n v="46.5"/>
    <n v="43.4"/>
    <n v="62.6"/>
    <s v="Unknown"/>
    <s v="Computer Science"/>
    <x v="0"/>
    <s v="Unknown"/>
    <s v="Unknown"/>
  </r>
  <r>
    <s v="STD0277"/>
    <s v="Data Science"/>
    <n v="79.5"/>
    <n v="82"/>
    <n v="43.2"/>
    <n v="71.543880000000001"/>
    <s v="Good Standing"/>
    <s v="Data Science"/>
    <x v="0"/>
    <s v="Good Standing"/>
    <s v="Good Standing"/>
  </r>
  <r>
    <s v="STD0114"/>
    <s v="Economics"/>
    <n v="97.7"/>
    <n v="82.3"/>
    <n v="42.3"/>
    <n v="78.5"/>
    <s v="Good Standing"/>
    <s v="Economics"/>
    <x v="0"/>
    <s v="Good Standing"/>
    <s v="Good Standing"/>
  </r>
  <r>
    <s v="STD0070"/>
    <s v="Economics"/>
    <n v="71.900000000000006"/>
    <n v="56.3"/>
    <n v="41.9"/>
    <n v="75.599999999999994"/>
    <s v="Good Standing"/>
    <s v="Economics"/>
    <x v="0"/>
    <s v="Good Standing"/>
    <s v="Good Standing"/>
  </r>
  <r>
    <s v="STD0021"/>
    <s v="Public Health"/>
    <n v="76.5"/>
    <n v="63.4"/>
    <n v="40.4"/>
    <n v="51.8"/>
    <s v="At Risk"/>
    <s v="Public Health"/>
    <x v="0"/>
    <s v="At Risk"/>
    <s v="At Risk"/>
  </r>
  <r>
    <s v="unknow"/>
    <s v="Business Administration"/>
    <n v="66.8"/>
    <n v="79.900000000000006"/>
    <n v="39.6"/>
    <n v="37.6"/>
    <s v="Good Standing"/>
    <s v="Business Administration"/>
    <x v="0"/>
    <s v="Good Standing"/>
    <s v="Good Standing"/>
  </r>
  <r>
    <s v="STD0038"/>
    <s v="Engineering"/>
    <n v="85.2"/>
    <n v="76.099999999999994"/>
    <n v="38.9"/>
    <n v="94.1"/>
    <s v="Good Standing"/>
    <s v="Engineering"/>
    <x v="0"/>
    <s v="Good Standing"/>
    <s v="Good Standing"/>
  </r>
  <r>
    <s v="STD0234"/>
    <s v="Computer Science"/>
    <n v="68.900000000000006"/>
    <n v="85.3"/>
    <n v="38.6"/>
    <n v="71"/>
    <s v="Good Standing"/>
    <s v="Computer Science"/>
    <x v="1"/>
    <s v="Good Standing"/>
    <s v="Good Standing"/>
  </r>
  <r>
    <s v="STD0018"/>
    <s v="Business Administration"/>
    <n v="84.4"/>
    <n v="85.3"/>
    <n v="33.5"/>
    <n v="100"/>
    <s v="Good Standing"/>
    <s v="Business Administration"/>
    <x v="0"/>
    <s v="Good Standing"/>
    <s v="Good Standing"/>
  </r>
  <r>
    <s v="STD0148"/>
    <s v="Computer Science"/>
    <n v="82.5"/>
    <n v="60.3"/>
    <n v="33.200000000000003"/>
    <n v="85.2"/>
    <s v="Good Standing"/>
    <s v="Computer Science"/>
    <x v="0"/>
    <s v="Good Standing"/>
    <s v="Good Standing"/>
  </r>
  <r>
    <s v="STD0081"/>
    <s v="Data Science"/>
    <n v="84.6"/>
    <n v="80.5"/>
    <n v="32.9"/>
    <n v="36.799999999999997"/>
    <s v="Good Standing"/>
    <s v="Data Science"/>
    <x v="0"/>
    <s v="Good Standing"/>
    <s v="Good Standing"/>
  </r>
  <r>
    <s v="unknow"/>
    <s v="Data Science"/>
    <n v="82"/>
    <n v="68.8"/>
    <n v="31.2"/>
    <n v="85.3"/>
    <s v="At Risk"/>
    <s v="Data Science"/>
    <x v="1"/>
    <s v="At Risk"/>
    <s v="At Risk"/>
  </r>
  <r>
    <s v="STD0099"/>
    <s v="Economics"/>
    <n v="85.5"/>
    <n v="64.599999999999994"/>
    <n v="29.6"/>
    <n v="89.8"/>
    <s v="Good Standing"/>
    <s v="Economics"/>
    <x v="2"/>
    <s v="Good Standing"/>
    <s v="Good Standing"/>
  </r>
  <r>
    <s v="STD0128"/>
    <s v="Business Administration"/>
    <n v="82.6"/>
    <n v="57.2"/>
    <n v="22.2"/>
    <n v="60.4"/>
    <s v="Good Standing"/>
    <s v="Business Administration"/>
    <x v="0"/>
    <s v="Good Standing"/>
    <s v="Good Standing"/>
  </r>
  <r>
    <s v="STD0125"/>
    <s v="Engineering"/>
    <n v="83.8"/>
    <n v="79.2"/>
    <n v="11.4"/>
    <n v="49.5"/>
    <s v="Good Standing"/>
    <s v="Engineering"/>
    <x v="0"/>
    <s v="Good Standing"/>
    <s v="Good Standing"/>
  </r>
  <r>
    <s v="STD0057"/>
    <s v="Computer Science"/>
    <n v="83.9"/>
    <n v="96.6"/>
    <n v="-2"/>
    <n v="91.8"/>
    <s v="Good Standing"/>
    <s v="Computer Science"/>
    <x v="0"/>
    <s v="Good Standing"/>
    <s v="Good Standing"/>
  </r>
  <r>
    <m/>
    <m/>
    <m/>
    <m/>
    <m/>
    <m/>
    <m/>
    <m/>
    <x v="3"/>
    <m/>
    <m/>
  </r>
  <r>
    <m/>
    <m/>
    <m/>
    <m/>
    <m/>
    <m/>
    <m/>
    <m/>
    <x v="3"/>
    <m/>
    <m/>
  </r>
  <r>
    <m/>
    <m/>
    <m/>
    <m/>
    <m/>
    <m/>
    <m/>
    <m/>
    <x v="3"/>
    <m/>
    <m/>
  </r>
  <r>
    <m/>
    <m/>
    <n v="297"/>
    <m/>
    <m/>
    <m/>
    <m/>
    <m/>
    <x v="3"/>
    <m/>
    <m/>
  </r>
  <r>
    <m/>
    <m/>
    <m/>
    <m/>
    <m/>
    <m/>
    <m/>
    <m/>
    <x v="3"/>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
  <r>
    <s v="STD0192"/>
    <x v="0"/>
    <n v="72.3"/>
    <n v="55.5"/>
    <n v="117"/>
    <n v="80"/>
    <s v="Good Standing"/>
    <s v="Computer Science"/>
    <s v="Good Standing"/>
  </r>
  <r>
    <s v="STD0160"/>
    <x v="0"/>
    <n v="77.900000000000006"/>
    <n v="65.8"/>
    <n v="100"/>
    <n v="91"/>
    <s v="Good Standing"/>
    <s v="Computer Science"/>
    <s v="Good Standing"/>
  </r>
  <r>
    <s v="STD0056"/>
    <x v="1"/>
    <n v="88.7"/>
    <n v="85.3"/>
    <n v="100"/>
    <n v="69.400000000000006"/>
    <s v="Good Standing"/>
    <s v="Unknown"/>
    <s v="Good Standing"/>
  </r>
  <r>
    <s v="STD0010"/>
    <x v="2"/>
    <n v="73.7"/>
    <n v="76.900000000000006"/>
    <n v="100"/>
    <n v="56.2"/>
    <s v="At Risk"/>
    <s v="Economics"/>
    <s v="At Risk"/>
  </r>
  <r>
    <s v="STD0161"/>
    <x v="3"/>
    <n v="90.1"/>
    <n v="69.8"/>
    <n v="100"/>
    <n v="96.1"/>
    <s v="Good Standing"/>
    <s v="Data Science"/>
    <s v="Good Standing"/>
  </r>
  <r>
    <s v="STD0085"/>
    <x v="0"/>
    <n v="80.7"/>
    <n v="71.3"/>
    <n v="100"/>
    <n v="67.599999999999994"/>
    <s v="Good Standing"/>
    <s v="Computer Science"/>
    <s v="Good Standing"/>
  </r>
  <r>
    <s v="STD0015"/>
    <x v="3"/>
    <n v="84.6"/>
    <n v="79.8"/>
    <n v="100"/>
    <n v="64.2"/>
    <s v="Good Standing"/>
    <s v="Data Science"/>
    <s v="Good Standing"/>
  </r>
  <r>
    <s v="STD0156"/>
    <x v="4"/>
    <n v="75.8"/>
    <n v="69.8"/>
    <n v="100"/>
    <n v="91.7"/>
    <s v="Good Standing"/>
    <s v="Business Administration"/>
    <s v="Good Standing"/>
  </r>
  <r>
    <s v="STD0140"/>
    <x v="0"/>
    <n v="84.2"/>
    <n v="61.6"/>
    <n v="100"/>
    <n v="77.5"/>
    <s v="At Risk"/>
    <s v="Computer Science"/>
    <s v="At Risk"/>
  </r>
  <r>
    <s v="STD0266"/>
    <x v="0"/>
    <n v="58.7"/>
    <n v="61.3"/>
    <n v="99.6"/>
    <n v="55.9"/>
    <s v="Good Standing"/>
    <s v="Computer Science"/>
    <s v="Good Standing"/>
  </r>
  <r>
    <s v="STD0050"/>
    <x v="5"/>
    <n v="74"/>
    <n v="49"/>
    <n v="97.7"/>
    <n v="58.8"/>
    <s v="At Risk"/>
    <s v="Public Health"/>
    <s v="At Risk"/>
  </r>
  <r>
    <s v="unknow"/>
    <x v="0"/>
    <n v="67.8"/>
    <n v="71.8"/>
    <n v="97.5"/>
    <n v="100"/>
    <s v="At Risk"/>
    <s v="Computer Science"/>
    <s v="At Risk"/>
  </r>
  <r>
    <s v="STD0187"/>
    <x v="5"/>
    <n v="82.1"/>
    <n v="74.099999999999994"/>
    <n v="96.2"/>
    <n v="86.2"/>
    <s v="Unknown"/>
    <s v="Public Health"/>
    <s v="Unknown"/>
  </r>
  <r>
    <s v="STD0235"/>
    <x v="5"/>
    <n v="92.7"/>
    <n v="62.7"/>
    <n v="96.1"/>
    <n v="74.099999999999994"/>
    <s v="Good Standing"/>
    <s v="Public Health"/>
    <s v="Good Standing"/>
  </r>
  <r>
    <s v="STD0182"/>
    <x v="5"/>
    <n v="74.2"/>
    <n v="71.400000000000006"/>
    <n v="95.9"/>
    <n v="80.400000000000006"/>
    <s v="Good Standing"/>
    <s v="Public Health"/>
    <s v="Good Standing"/>
  </r>
  <r>
    <s v="STD0186"/>
    <x v="5"/>
    <n v="63.3"/>
    <n v="89.2"/>
    <n v="95.1"/>
    <n v="82.9"/>
    <s v="At Risk"/>
    <s v="Public Health"/>
    <s v="At Risk"/>
  </r>
  <r>
    <s v="STD0096"/>
    <x v="3"/>
    <n v="100"/>
    <n v="71.5"/>
    <n v="94.5"/>
    <n v="93.4"/>
    <s v="Good Standing"/>
    <s v="Data Science"/>
    <s v="Good Standing"/>
  </r>
  <r>
    <s v="STD0222"/>
    <x v="6"/>
    <n v="83.7"/>
    <n v="71.400000000000006"/>
    <n v="93.6"/>
    <n v="86.1"/>
    <s v="Good Standing"/>
    <s v="Engineering"/>
    <s v="Good Standing"/>
  </r>
  <r>
    <s v="STD0087"/>
    <x v="6"/>
    <n v="67.900000000000006"/>
    <n v="55.5"/>
    <n v="93.3"/>
    <n v="62.9"/>
    <s v="Good Standing"/>
    <s v="Engineering"/>
    <s v="Good Standing"/>
  </r>
  <r>
    <s v="STD0218"/>
    <x v="0"/>
    <n v="75.400000000000006"/>
    <n v="58.6"/>
    <n v="92.1"/>
    <n v="74.2"/>
    <s v="Good Standing"/>
    <s v="Computer Science"/>
    <s v="Good Standing"/>
  </r>
  <r>
    <s v="STD0269"/>
    <x v="4"/>
    <n v="79.7"/>
    <n v="91.4"/>
    <n v="91.7"/>
    <n v="70.400000000000006"/>
    <s v="Good Standing"/>
    <s v="Business Administration"/>
    <s v="Good Standing"/>
  </r>
  <r>
    <s v="STD0248"/>
    <x v="0"/>
    <n v="78.599999999999994"/>
    <n v="73.8"/>
    <n v="91.4"/>
    <n v="95.9"/>
    <s v="Good Standing"/>
    <s v="Computer Science"/>
    <s v="Good Standing"/>
  </r>
  <r>
    <s v="STD0095"/>
    <x v="5"/>
    <n v="84.8"/>
    <n v="86.2"/>
    <n v="91.2"/>
    <n v="60.8"/>
    <s v="Good Standing"/>
    <s v="Public Health"/>
    <s v="Good Standing"/>
  </r>
  <r>
    <s v="unknow"/>
    <x v="4"/>
    <n v="74.599999999999994"/>
    <n v="65.900000000000006"/>
    <n v="90.9"/>
    <n v="49.6"/>
    <s v="Good Standing"/>
    <s v="Business Administration"/>
    <s v="Good Standing"/>
  </r>
  <r>
    <s v="STD0129"/>
    <x v="2"/>
    <n v="67.3"/>
    <n v="81.599999999999994"/>
    <n v="90.8"/>
    <n v="84.6"/>
    <s v="Good Standing"/>
    <s v="Economics"/>
    <s v="Good Standing"/>
  </r>
  <r>
    <s v="unknow"/>
    <x v="2"/>
    <n v="90.7"/>
    <n v="55"/>
    <n v="89.8"/>
    <n v="80.7"/>
    <s v="Good Standing"/>
    <s v="Economics"/>
    <s v="Good Standing"/>
  </r>
  <r>
    <s v="STD0252"/>
    <x v="5"/>
    <n v="74.900000000000006"/>
    <n v="55.3"/>
    <n v="89.7"/>
    <n v="114"/>
    <s v="At Risk"/>
    <s v="Public Health"/>
    <s v="At Risk"/>
  </r>
  <r>
    <s v="STD0284"/>
    <x v="3"/>
    <n v="73.400000000000006"/>
    <n v="77.7"/>
    <n v="89.4"/>
    <n v="46.4"/>
    <s v="Good Standing"/>
    <s v="Data Science"/>
    <s v="Good Standing"/>
  </r>
  <r>
    <s v="STD0251"/>
    <x v="3"/>
    <n v="87.2"/>
    <n v="68"/>
    <n v="88.8"/>
    <n v="71.543880000000001"/>
    <s v="Good Standing"/>
    <s v="Data Science"/>
    <s v="Good Standing"/>
  </r>
  <r>
    <s v="STD0126"/>
    <x v="4"/>
    <n v="-5"/>
    <n v="70.400000000000006"/>
    <n v="88.7"/>
    <n v="76.400000000000006"/>
    <s v="Good Standing"/>
    <s v="Business Administration"/>
    <s v="Good Standing"/>
  </r>
  <r>
    <s v="STD0137"/>
    <x v="0"/>
    <n v="70.7"/>
    <n v="52.3"/>
    <n v="88.7"/>
    <n v="83"/>
    <s v="At Risk"/>
    <s v="Computer Science"/>
    <s v="At Risk"/>
  </r>
  <r>
    <s v="STD0289"/>
    <x v="3"/>
    <n v="63.2"/>
    <n v="51.3"/>
    <n v="88.6"/>
    <n v="97.8"/>
    <s v="Unknown"/>
    <s v="Data Science"/>
    <s v="Unknown"/>
  </r>
  <r>
    <s v="STD0173"/>
    <x v="6"/>
    <n v="63.5"/>
    <n v="76.400000000000006"/>
    <n v="88.6"/>
    <n v="71.543880000000001"/>
    <s v="Good Standing"/>
    <s v="Engineering"/>
    <s v="Good Standing"/>
  </r>
  <r>
    <s v="STD0074"/>
    <x v="1"/>
    <n v="68.5"/>
    <n v="57"/>
    <n v="88.3"/>
    <n v="77.599999999999994"/>
    <s v="Good Standing"/>
    <s v="Unknown"/>
    <s v="Good Standing"/>
  </r>
  <r>
    <s v="STD0075"/>
    <x v="4"/>
    <n v="73.2"/>
    <n v="67"/>
    <n v="88.2"/>
    <n v="78"/>
    <s v="Good Standing"/>
    <s v="Business Administration"/>
    <s v="Good Standing"/>
  </r>
  <r>
    <s v="STD0108"/>
    <x v="3"/>
    <n v="74.7"/>
    <n v="51.5"/>
    <n v="87.8"/>
    <n v="111"/>
    <s v="Good Standing"/>
    <s v="Data Science"/>
    <s v="Good Standing"/>
  </r>
  <r>
    <s v="STD0051"/>
    <x v="4"/>
    <n v="65"/>
    <n v="84.9"/>
    <n v="87.5"/>
    <n v="89.8"/>
    <s v="Good Standing"/>
    <s v="Business Administration"/>
    <s v="Good Standing"/>
  </r>
  <r>
    <s v="STD0152"/>
    <x v="6"/>
    <n v="70.7"/>
    <n v="70.3"/>
    <n v="87.1"/>
    <n v="77.599999999999994"/>
    <s v="Good Standing"/>
    <s v="Engineering"/>
    <s v="Good Standing"/>
  </r>
  <r>
    <s v="STD0249"/>
    <x v="3"/>
    <n v="83.9"/>
    <n v="49.6"/>
    <n v="86.8"/>
    <n v="67"/>
    <s v="Unknown"/>
    <s v="Data Science"/>
    <s v="Unknown"/>
  </r>
  <r>
    <s v="STD0135"/>
    <x v="0"/>
    <n v="86.9"/>
    <n v="77.400000000000006"/>
    <n v="86.7"/>
    <n v="63.1"/>
    <s v="Good Standing"/>
    <s v="Computer Science"/>
    <s v="Good Standing"/>
  </r>
  <r>
    <s v="STD0138"/>
    <x v="0"/>
    <n v="86.7"/>
    <n v="69.8"/>
    <n v="86.4"/>
    <n v="54.6"/>
    <s v="At Risk"/>
    <s v="Computer Science"/>
    <s v="At Risk"/>
  </r>
  <r>
    <s v="STD0285"/>
    <x v="6"/>
    <n v="91.5"/>
    <n v="75.8"/>
    <n v="86.3"/>
    <n v="87.5"/>
    <s v="Unknown"/>
    <s v="Engineering"/>
    <s v="Unknown"/>
  </r>
  <r>
    <s v="STD0170"/>
    <x v="4"/>
    <n v="71.8"/>
    <n v="64.599999999999994"/>
    <n v="86"/>
    <n v="71.3"/>
    <s v="At Risk"/>
    <s v="Business Administration"/>
    <s v="At Risk"/>
  </r>
  <r>
    <s v="STD0212"/>
    <x v="2"/>
    <n v="75.8"/>
    <n v="70.599999999999994"/>
    <n v="85.9"/>
    <n v="72.7"/>
    <s v="Good Standing"/>
    <s v="Economics"/>
    <s v="Good Standing"/>
  </r>
  <r>
    <s v="STD0105"/>
    <x v="6"/>
    <n v="99.9"/>
    <n v="70.900000000000006"/>
    <n v="85.9"/>
    <n v="54.9"/>
    <s v="Good Standing"/>
    <s v="Engineering"/>
    <s v="Good Standing"/>
  </r>
  <r>
    <s v="STD0116"/>
    <x v="6"/>
    <n v="70"/>
    <n v="53.4"/>
    <n v="85.6"/>
    <n v="59.1"/>
    <s v="Good Standing"/>
    <s v="Engineering"/>
    <s v="Good Standing"/>
  </r>
  <r>
    <s v="STD0165"/>
    <x v="3"/>
    <n v="85.1"/>
    <n v="78.2"/>
    <n v="85.5"/>
    <n v="67.400000000000006"/>
    <s v="Good Standing"/>
    <s v="Data Science"/>
    <s v="Good Standing"/>
  </r>
  <r>
    <s v="STD0231"/>
    <x v="0"/>
    <n v="65.3"/>
    <n v="92.9"/>
    <n v="85.4"/>
    <n v="68.2"/>
    <s v="Good Standing"/>
    <s v="Computer Science"/>
    <s v="Good Standing"/>
  </r>
  <r>
    <s v="STD0259"/>
    <x v="3"/>
    <n v="84.4"/>
    <n v="82"/>
    <n v="85.2"/>
    <n v="100"/>
    <s v="Good Standing"/>
    <s v="Data Science"/>
    <s v="Good Standing"/>
  </r>
  <r>
    <s v="unknow"/>
    <x v="0"/>
    <n v="87.8"/>
    <n v="75.099999999999994"/>
    <n v="84.7"/>
    <n v="80.099999999999994"/>
    <s v="At Risk"/>
    <s v="Computer Science"/>
    <s v="At Risk"/>
  </r>
  <r>
    <s v="STD0203"/>
    <x v="6"/>
    <n v="98.5"/>
    <n v="60.9"/>
    <n v="83.8"/>
    <n v="94.9"/>
    <s v="Good Standing"/>
    <s v="Engineering"/>
    <s v="Good Standing"/>
  </r>
  <r>
    <s v="STD0130"/>
    <x v="4"/>
    <n v="66.5"/>
    <n v="99.1"/>
    <n v="83.5"/>
    <n v="35.700000000000003"/>
    <s v="Good Standing"/>
    <s v="Business Administration"/>
    <s v="Good Standing"/>
  </r>
  <r>
    <s v="STD0101"/>
    <x v="0"/>
    <n v="48.8"/>
    <n v="69.3"/>
    <n v="83.2"/>
    <n v="81"/>
    <s v="Unknown"/>
    <s v="Computer Science"/>
    <s v="Unknown"/>
  </r>
  <r>
    <s v="STD0037"/>
    <x v="1"/>
    <n v="99.4"/>
    <n v="76.7"/>
    <n v="83.2"/>
    <n v="100"/>
    <s v="Good Standing"/>
    <s v="Unknown"/>
    <s v="Good Standing"/>
  </r>
  <r>
    <s v="STD0279"/>
    <x v="1"/>
    <n v="98.6"/>
    <n v="73.3"/>
    <n v="83"/>
    <n v="54.1"/>
    <s v="Good Standing"/>
    <s v="Unknown"/>
    <s v="Good Standing"/>
  </r>
  <r>
    <s v="STD0196"/>
    <x v="5"/>
    <n v="80.3"/>
    <n v="90.3"/>
    <n v="82.9"/>
    <n v="74.599999999999994"/>
    <s v="Good Standing"/>
    <s v="Public Health"/>
    <s v="Good Standing"/>
  </r>
  <r>
    <s v="STD0036"/>
    <x v="0"/>
    <n v="91.8"/>
    <n v="65.900000000000006"/>
    <n v="82.7"/>
    <n v="71.543880000000001"/>
    <s v="Good Standing"/>
    <s v="Computer Science"/>
    <s v="Good Standing"/>
  </r>
  <r>
    <s v="STD0028"/>
    <x v="0"/>
    <n v="97.9"/>
    <n v="55.2"/>
    <n v="82.5"/>
    <n v="50.1"/>
    <s v="Good Standing"/>
    <s v="Computer Science"/>
    <s v="Good Standing"/>
  </r>
  <r>
    <s v="STD0147"/>
    <x v="0"/>
    <n v="85.5"/>
    <n v="64.3"/>
    <n v="81.8"/>
    <n v="68.099999999999994"/>
    <s v="Good Standing"/>
    <s v="Computer Science"/>
    <s v="Good Standing"/>
  </r>
  <r>
    <s v="STD0258"/>
    <x v="3"/>
    <n v="93.5"/>
    <n v="65.900000000000006"/>
    <n v="81.8"/>
    <n v="37.200000000000003"/>
    <s v="Good Standing"/>
    <s v="Data Science"/>
    <s v="Good Standing"/>
  </r>
  <r>
    <s v="STD0159"/>
    <x v="3"/>
    <n v="77.3"/>
    <n v="74.900000000000006"/>
    <n v="81.599999999999994"/>
    <n v="62.2"/>
    <s v="Good Standing"/>
    <s v="Data Science"/>
    <s v="Good Standing"/>
  </r>
  <r>
    <s v="STD0291"/>
    <x v="3"/>
    <n v="69.400000000000006"/>
    <n v="56.1"/>
    <n v="81.400000000000006"/>
    <n v="71.543880000000001"/>
    <s v="Good Standing"/>
    <s v="Data Science"/>
    <s v="Good Standing"/>
  </r>
  <r>
    <s v="STD0237"/>
    <x v="4"/>
    <n v="84.9"/>
    <n v="77.2"/>
    <n v="81.400000000000006"/>
    <n v="68"/>
    <s v="Good Standing"/>
    <s v="Business Administration"/>
    <s v="Good Standing"/>
  </r>
  <r>
    <s v="STD0133"/>
    <x v="4"/>
    <n v="62.8"/>
    <n v="80.3"/>
    <n v="81.099999999999994"/>
    <n v="87.7"/>
    <s v="Unknown"/>
    <s v="Business Administration"/>
    <s v="Unknown"/>
  </r>
  <r>
    <s v="STD0119"/>
    <x v="1"/>
    <n v="83.8"/>
    <n v="72.900000000000006"/>
    <n v="80.900000000000006"/>
    <n v="66.5"/>
    <s v="Good Standing"/>
    <s v="Unknown"/>
    <s v="Good Standing"/>
  </r>
  <r>
    <s v="STD0190"/>
    <x v="4"/>
    <n v="92.5"/>
    <n v="79.3"/>
    <n v="80.599999999999994"/>
    <n v="79.3"/>
    <s v="At Risk"/>
    <s v="Business Administration"/>
    <s v="At Risk"/>
  </r>
  <r>
    <s v="STD0065"/>
    <x v="6"/>
    <n v="93.4"/>
    <n v="70.2"/>
    <n v="80.400000000000006"/>
    <n v="91.8"/>
    <s v="Good Standing"/>
    <s v="Engineering"/>
    <s v="Good Standing"/>
  </r>
  <r>
    <s v="STD0270"/>
    <x v="1"/>
    <n v="100"/>
    <n v="67.400000000000006"/>
    <n v="80"/>
    <n v="89.4"/>
    <s v="Good Standing"/>
    <s v="Unknown"/>
    <s v="Good Standing"/>
  </r>
  <r>
    <s v="STD0208"/>
    <x v="0"/>
    <n v="70"/>
    <n v="55.4"/>
    <n v="79.8"/>
    <n v="68.5"/>
    <s v="Good Standing"/>
    <s v="Computer Science"/>
    <s v="Good Standing"/>
  </r>
  <r>
    <s v="unknow"/>
    <x v="2"/>
    <n v="77.2"/>
    <n v="90.9"/>
    <n v="79.7"/>
    <n v="61.9"/>
    <s v="Good Standing"/>
    <s v="Economics"/>
    <s v="Good Standing"/>
  </r>
  <r>
    <s v="STD0177"/>
    <x v="5"/>
    <n v="59.4"/>
    <n v="69.8"/>
    <n v="79.7"/>
    <n v="55.7"/>
    <s v="At Risk"/>
    <s v="Public Health"/>
    <s v="At Risk"/>
  </r>
  <r>
    <s v="STD0288"/>
    <x v="2"/>
    <n v="-4"/>
    <n v="69.8"/>
    <n v="79.7"/>
    <n v="61.9"/>
    <s v="Good Standing"/>
    <s v="Economics"/>
    <s v="Good Standing"/>
  </r>
  <r>
    <s v="STD0276"/>
    <x v="0"/>
    <n v="58.7"/>
    <n v="60.8"/>
    <n v="79.5"/>
    <n v="63"/>
    <s v="At Risk"/>
    <s v="Computer Science"/>
    <s v="At Risk"/>
  </r>
  <r>
    <s v="STD0072"/>
    <x v="6"/>
    <n v="68.599999999999994"/>
    <n v="41.9"/>
    <n v="79.3"/>
    <n v="52.2"/>
    <s v="Good Standing"/>
    <s v="Engineering"/>
    <s v="Good Standing"/>
  </r>
  <r>
    <s v="STD0236"/>
    <x v="3"/>
    <n v="100"/>
    <n v="43.6"/>
    <n v="79"/>
    <n v="85.6"/>
    <s v="Good Standing"/>
    <s v="Data Science"/>
    <s v="Good Standing"/>
  </r>
  <r>
    <s v="unknow"/>
    <x v="4"/>
    <n v="100"/>
    <n v="65.8"/>
    <n v="79"/>
    <n v="67.7"/>
    <s v="At Risk"/>
    <s v="Business Administration"/>
    <s v="At Risk"/>
  </r>
  <r>
    <s v="STD0219"/>
    <x v="2"/>
    <n v="83.3"/>
    <n v="98.7"/>
    <n v="78.7"/>
    <n v="71.543880000000001"/>
    <s v="Unknown"/>
    <s v="Economics"/>
    <s v="Unknown"/>
  </r>
  <r>
    <s v="STD0271"/>
    <x v="4"/>
    <n v="91.4"/>
    <n v="82"/>
    <n v="78.599999999999994"/>
    <n v="85.4"/>
    <s v="Good Standing"/>
    <s v="Business Administration"/>
    <s v="Good Standing"/>
  </r>
  <r>
    <s v="STD0020"/>
    <x v="5"/>
    <n v="94.8"/>
    <n v="79.099999999999994"/>
    <n v="78.5"/>
    <n v="62.3"/>
    <s v="Good Standing"/>
    <s v="Public Health"/>
    <s v="Good Standing"/>
  </r>
  <r>
    <s v="STD0131"/>
    <x v="4"/>
    <n v="100"/>
    <n v="83.4"/>
    <n v="78.5"/>
    <n v="77.400000000000006"/>
    <s v="Good Standing"/>
    <s v="Business Administration"/>
    <s v="Good Standing"/>
  </r>
  <r>
    <s v="STD0039"/>
    <x v="3"/>
    <n v="83.3"/>
    <n v="79.099999999999994"/>
    <n v="78.400000000000006"/>
    <n v="86.6"/>
    <s v="Good Standing"/>
    <s v="Data Science"/>
    <s v="Good Standing"/>
  </r>
  <r>
    <s v="STD0255"/>
    <x v="3"/>
    <n v="83.1"/>
    <n v="77.3"/>
    <n v="78.400000000000006"/>
    <n v="57.1"/>
    <s v="At Risk"/>
    <s v="Data Science"/>
    <s v="At Risk"/>
  </r>
  <r>
    <s v="STD0003"/>
    <x v="5"/>
    <n v="71.8"/>
    <n v="78.2"/>
    <n v="78.400000000000006"/>
    <n v="58"/>
    <s v="Good Standing"/>
    <s v="Public Health"/>
    <s v="Good Standing"/>
  </r>
  <r>
    <s v="STD0091"/>
    <x v="6"/>
    <n v="98.1"/>
    <n v="65"/>
    <n v="78.3"/>
    <n v="58.1"/>
    <s v="Unknown"/>
    <s v="Engineering"/>
    <s v="Unknown"/>
  </r>
  <r>
    <s v="STD0180"/>
    <x v="3"/>
    <n v="81.900000000000006"/>
    <n v="67.3"/>
    <n v="78.3"/>
    <n v="62"/>
    <s v="Good Standing"/>
    <s v="Data Science"/>
    <s v="Good Standing"/>
  </r>
  <r>
    <s v="STD0253"/>
    <x v="2"/>
    <n v="83.4"/>
    <n v="52.8"/>
    <n v="78.099999999999994"/>
    <n v="72.5"/>
    <s v="Good Standing"/>
    <s v="Economics"/>
    <s v="Good Standing"/>
  </r>
  <r>
    <s v="STD0179"/>
    <x v="4"/>
    <n v="60.5"/>
    <n v="69.8"/>
    <n v="78.099999999999994"/>
    <n v="75.3"/>
    <s v="Good Standing"/>
    <s v="Business Administration"/>
    <s v="Good Standing"/>
  </r>
  <r>
    <s v="STD0286"/>
    <x v="6"/>
    <n v="82.1"/>
    <n v="62.9"/>
    <n v="77.900000000000006"/>
    <n v="68.2"/>
    <s v="Good Standing"/>
    <s v="Engineering"/>
    <s v="Good Standing"/>
  </r>
  <r>
    <s v="STD0268"/>
    <x v="3"/>
    <n v="85.4"/>
    <n v="61.4"/>
    <n v="77.900000000000006"/>
    <n v="76"/>
    <s v="At Risk"/>
    <s v="Data Science"/>
    <s v="At Risk"/>
  </r>
  <r>
    <s v="STD0023"/>
    <x v="3"/>
    <n v="70.7"/>
    <n v="62"/>
    <n v="77.8"/>
    <n v="49"/>
    <s v="Good Standing"/>
    <s v="Data Science"/>
    <s v="Good Standing"/>
  </r>
  <r>
    <s v="STD0109"/>
    <x v="6"/>
    <n v="94.2"/>
    <n v="67.599999999999994"/>
    <n v="77.5"/>
    <n v="93.3"/>
    <s v="Good Standing"/>
    <s v="Engineering"/>
    <s v="Good Standing"/>
  </r>
  <r>
    <s v="STD0049"/>
    <x v="3"/>
    <n v="59"/>
    <n v="60.4"/>
    <n v="77"/>
    <n v="71.543880000000001"/>
    <s v="Good Standing"/>
    <s v="Data Science"/>
    <s v="Good Standing"/>
  </r>
  <r>
    <s v="STD0073"/>
    <x v="4"/>
    <n v="83.5"/>
    <n v="44.3"/>
    <n v="77"/>
    <n v="75.7"/>
    <s v="Good Standing"/>
    <s v="Business Administration"/>
    <s v="Good Standing"/>
  </r>
  <r>
    <s v="STD0146"/>
    <x v="4"/>
    <n v="67"/>
    <n v="87.7"/>
    <n v="76.900000000000006"/>
    <n v="74.599999999999994"/>
    <s v="At Risk"/>
    <s v="Business Administration"/>
    <s v="At Risk"/>
  </r>
  <r>
    <s v="STD0157"/>
    <x v="4"/>
    <n v="78.8"/>
    <n v="69.8"/>
    <n v="76.8"/>
    <n v="48.2"/>
    <s v="Good Standing"/>
    <s v="Business Administration"/>
    <s v="Good Standing"/>
  </r>
  <r>
    <s v="STD0076"/>
    <x v="3"/>
    <n v="82.7"/>
    <n v="69.8"/>
    <n v="76.8"/>
    <n v="74.5"/>
    <s v="At Risk"/>
    <s v="Data Science"/>
    <s v="At Risk"/>
  </r>
  <r>
    <s v="STD0153"/>
    <x v="4"/>
    <n v="65"/>
    <n v="89.3"/>
    <n v="76.8"/>
    <n v="53"/>
    <s v="Good Standing"/>
    <s v="Business Administration"/>
    <s v="Good Standing"/>
  </r>
  <r>
    <s v="STD0145"/>
    <x v="5"/>
    <n v="60.8"/>
    <n v="77.400000000000006"/>
    <n v="76.8"/>
    <n v="41.7"/>
    <s v="Good Standing"/>
    <s v="Public Health"/>
    <s v="Good Standing"/>
  </r>
  <r>
    <s v="STD0008"/>
    <x v="6"/>
    <n v="100"/>
    <n v="64.099999999999994"/>
    <n v="76.599999999999994"/>
    <n v="68.599999999999994"/>
    <s v="Good Standing"/>
    <s v="Engineering"/>
    <s v="Good Standing"/>
  </r>
  <r>
    <s v="unknow"/>
    <x v="0"/>
    <n v="70.099999999999994"/>
    <n v="75.900000000000006"/>
    <n v="76.2"/>
    <n v="55.4"/>
    <s v="At Risk"/>
    <s v="Computer Science"/>
    <s v="At Risk"/>
  </r>
  <r>
    <s v="STD0041"/>
    <x v="6"/>
    <n v="58.7"/>
    <n v="72.2"/>
    <n v="75.7"/>
    <n v="67.7"/>
    <s v="At Risk"/>
    <s v="Engineering"/>
    <s v="At Risk"/>
  </r>
  <r>
    <s v="STD0002"/>
    <x v="4"/>
    <n v="92.4"/>
    <n v="69.099999999999994"/>
    <n v="75.7"/>
    <n v="36.700000000000003"/>
    <s v="Unknown"/>
    <s v="Business Administration"/>
    <s v="Unknown"/>
  </r>
  <r>
    <s v="STD0261"/>
    <x v="5"/>
    <n v="58.7"/>
    <n v="51.3"/>
    <n v="75.599999999999994"/>
    <n v="35.799999999999997"/>
    <s v="Good Standing"/>
    <s v="Public Health"/>
    <s v="Good Standing"/>
  </r>
  <r>
    <s v="STD0007"/>
    <x v="4"/>
    <n v="100"/>
    <n v="79.7"/>
    <n v="75.400000000000006"/>
    <n v="95.3"/>
    <s v="Unknown"/>
    <s v="Business Administration"/>
    <s v="Unknown"/>
  </r>
  <r>
    <s v="STD0283"/>
    <x v="0"/>
    <n v="69.900000000000006"/>
    <n v="79.7"/>
    <n v="75.400000000000006"/>
    <n v="59.3"/>
    <s v="Good Standing"/>
    <s v="Computer Science"/>
    <s v="Good Standing"/>
  </r>
  <r>
    <s v="STD0264"/>
    <x v="6"/>
    <n v="95"/>
    <n v="99.5"/>
    <n v="74.8"/>
    <n v="82.7"/>
    <s v="Good Standing"/>
    <s v="Engineering"/>
    <s v="Good Standing"/>
  </r>
  <r>
    <s v="STD0033"/>
    <x v="3"/>
    <n v="89.2"/>
    <n v="100"/>
    <n v="74.8"/>
    <n v="73.599999999999994"/>
    <s v="Good Standing"/>
    <s v="Data Science"/>
    <s v="Good Standing"/>
  </r>
  <r>
    <s v="STD0174"/>
    <x v="3"/>
    <n v="70.400000000000006"/>
    <n v="69.099999999999994"/>
    <n v="74.7"/>
    <n v="77.400000000000006"/>
    <s v="Good Standing"/>
    <s v="Data Science"/>
    <s v="Good Standing"/>
  </r>
  <r>
    <s v="STD0194"/>
    <x v="6"/>
    <n v="93.3"/>
    <n v="79"/>
    <n v="74.2"/>
    <n v="27.5"/>
    <s v="Good Standing"/>
    <s v="Engineering"/>
    <s v="Good Standing"/>
  </r>
  <r>
    <s v="STD0094"/>
    <x v="3"/>
    <n v="83.3"/>
    <n v="41.4"/>
    <n v="74.099999999999994"/>
    <n v="51.5"/>
    <s v="Good Standing"/>
    <s v="Data Science"/>
    <s v="Good Standing"/>
  </r>
  <r>
    <s v="STD0290"/>
    <x v="0"/>
    <n v="88.3"/>
    <n v="72.400000000000006"/>
    <n v="73.599999999999994"/>
    <n v="71.543880000000001"/>
    <s v="Good Standing"/>
    <s v="Computer Science"/>
    <s v="Good Standing"/>
  </r>
  <r>
    <s v="STD0232"/>
    <x v="6"/>
    <n v="77.2"/>
    <n v="91.8"/>
    <n v="73.099999999999994"/>
    <n v="98.2"/>
    <s v="Good Standing"/>
    <s v="Engineering"/>
    <s v="Good Standing"/>
  </r>
  <r>
    <s v="STD0265"/>
    <x v="0"/>
    <n v="70.900000000000006"/>
    <n v="87.1"/>
    <n v="73.099999999999994"/>
    <n v="100"/>
    <s v="Good Standing"/>
    <s v="Computer Science"/>
    <s v="Good Standing"/>
  </r>
  <r>
    <s v="STD0046"/>
    <x v="5"/>
    <n v="94"/>
    <n v="85.7"/>
    <n v="73"/>
    <n v="83.7"/>
    <s v="Good Standing"/>
    <s v="Public Health"/>
    <s v="Good Standing"/>
  </r>
  <r>
    <s v="STD0100"/>
    <x v="0"/>
    <n v="89.8"/>
    <n v="62.5"/>
    <n v="73"/>
    <n v="37.4"/>
    <s v="Good Standing"/>
    <s v="Computer Science"/>
    <s v="Good Standing"/>
  </r>
  <r>
    <s v="STD0016"/>
    <x v="4"/>
    <n v="76.2"/>
    <n v="66.900000000000006"/>
    <n v="72.900000000000006"/>
    <n v="71.543880000000001"/>
    <s v="Good Standing"/>
    <s v="Business Administration"/>
    <s v="Good Standing"/>
  </r>
  <r>
    <s v="STD0111"/>
    <x v="3"/>
    <n v="66.3"/>
    <n v="80.099999999999994"/>
    <n v="72.8"/>
    <n v="71.543880000000001"/>
    <s v="Good Standing"/>
    <s v="Data Science"/>
    <s v="Good Standing"/>
  </r>
  <r>
    <s v="STD0027"/>
    <x v="3"/>
    <n v="58.7"/>
    <n v="72.5"/>
    <n v="72.7"/>
    <n v="47.5"/>
    <s v="Good Standing"/>
    <s v="Data Science"/>
    <s v="Good Standing"/>
  </r>
  <r>
    <s v="STD0163"/>
    <x v="4"/>
    <n v="88.8"/>
    <n v="83.4"/>
    <n v="72.5"/>
    <n v="73.2"/>
    <s v="Good Standing"/>
    <s v="Business Administration"/>
    <s v="Good Standing"/>
  </r>
  <r>
    <s v="STD0043"/>
    <x v="5"/>
    <n v="100"/>
    <n v="69.8"/>
    <n v="72.400000000000006"/>
    <n v="67.8"/>
    <s v="At Risk"/>
    <s v="Public Health"/>
    <s v="At Risk"/>
  </r>
  <r>
    <s v="STD0242"/>
    <x v="5"/>
    <n v="65.7"/>
    <n v="100"/>
    <n v="72.2"/>
    <n v="84.7"/>
    <s v="Good Standing"/>
    <s v="Public Health"/>
    <s v="Good Standing"/>
  </r>
  <r>
    <s v="STD0167"/>
    <x v="3"/>
    <n v="93.2"/>
    <n v="53.5"/>
    <n v="72.2"/>
    <n v="49.9"/>
    <s v="At Risk"/>
    <s v="Data Science"/>
    <s v="At Risk"/>
  </r>
  <r>
    <s v="STD0216"/>
    <x v="0"/>
    <n v="84.1"/>
    <n v="79.599999999999994"/>
    <n v="71.900000000000006"/>
    <n v="83.4"/>
    <s v="Good Standing"/>
    <s v="Computer Science"/>
    <s v="Good Standing"/>
  </r>
  <r>
    <s v="STD0230"/>
    <x v="4"/>
    <n v="80.400000000000006"/>
    <n v="89.3"/>
    <n v="71.7"/>
    <n v="61.4"/>
    <s v="Good Standing"/>
    <s v="Business Administration"/>
    <s v="Good Standing"/>
  </r>
  <r>
    <s v="STD0030"/>
    <x v="0"/>
    <n v="83.4"/>
    <n v="81.400000000000006"/>
    <n v="71.5"/>
    <n v="59.3"/>
    <s v="Good Standing"/>
    <s v="Computer Science"/>
    <s v="Good Standing"/>
  </r>
  <r>
    <s v="STD0189"/>
    <x v="2"/>
    <n v="76"/>
    <n v="69.400000000000006"/>
    <n v="71.5"/>
    <n v="49.2"/>
    <s v="At Risk"/>
    <s v="Economics"/>
    <s v="At Risk"/>
  </r>
  <r>
    <s v="STD0287"/>
    <x v="4"/>
    <n v="87.1"/>
    <n v="77.400000000000006"/>
    <n v="71.3"/>
    <n v="42.3"/>
    <s v="Good Standing"/>
    <s v="Business Administration"/>
    <s v="Good Standing"/>
  </r>
  <r>
    <s v="unknow"/>
    <x v="6"/>
    <n v="79.099999999999994"/>
    <n v="55.9"/>
    <n v="71.3"/>
    <n v="85.2"/>
    <s v="Good Standing"/>
    <s v="Engineering"/>
    <s v="Good Standing"/>
  </r>
  <r>
    <s v="STD0238"/>
    <x v="5"/>
    <n v="77.2"/>
    <n v="51.1"/>
    <n v="71.3"/>
    <n v="83.6"/>
    <s v="At Risk"/>
    <s v="Public Health"/>
    <s v="At Risk"/>
  </r>
  <r>
    <s v="STD0122"/>
    <x v="2"/>
    <n v="93.4"/>
    <n v="58.3"/>
    <n v="71.2"/>
    <n v="52.5"/>
    <s v="Good Standing"/>
    <s v="Economics"/>
    <s v="Good Standing"/>
  </r>
  <r>
    <s v="STD0055"/>
    <x v="6"/>
    <n v="86.7"/>
    <n v="72.400000000000006"/>
    <n v="71"/>
    <n v="85.8"/>
    <s v="Good Standing"/>
    <s v="Engineering"/>
    <s v="Good Standing"/>
  </r>
  <r>
    <s v="STD0011"/>
    <x v="0"/>
    <n v="69.400000000000006"/>
    <n v="38.5"/>
    <n v="70.8"/>
    <n v="74.7"/>
    <s v="Good Standing"/>
    <s v="Computer Science"/>
    <s v="Good Standing"/>
  </r>
  <r>
    <s v="STD0175"/>
    <x v="4"/>
    <n v="82.5"/>
    <n v="87.7"/>
    <n v="70.599999999999994"/>
    <n v="71.543880000000001"/>
    <s v="Good Standing"/>
    <s v="Business Administration"/>
    <s v="Good Standing"/>
  </r>
  <r>
    <s v="STD0207"/>
    <x v="3"/>
    <n v="96.2"/>
    <n v="64.2"/>
    <n v="70.5"/>
    <n v="56"/>
    <s v="Good Standing"/>
    <s v="Data Science"/>
    <s v="Good Standing"/>
  </r>
  <r>
    <s v="STD0067"/>
    <x v="3"/>
    <n v="88.7"/>
    <n v="69.8"/>
    <n v="70.400000000000006"/>
    <n v="63.1"/>
    <s v="At Risk"/>
    <s v="Data Science"/>
    <s v="At Risk"/>
  </r>
  <r>
    <s v="STD0034"/>
    <x v="3"/>
    <n v="96.5"/>
    <n v="78.099999999999994"/>
    <n v="70.3"/>
    <n v="89.1"/>
    <s v="Good Standing"/>
    <s v="Data Science"/>
    <s v="Good Standing"/>
  </r>
  <r>
    <s v="STD0198"/>
    <x v="0"/>
    <n v="72.2"/>
    <n v="71.099999999999994"/>
    <n v="69.8"/>
    <n v="76.5"/>
    <s v="Good Standing"/>
    <s v="Computer Science"/>
    <s v="Good Standing"/>
  </r>
  <r>
    <s v="STD0090"/>
    <x v="5"/>
    <n v="57.3"/>
    <n v="84.6"/>
    <n v="69.7"/>
    <n v="49.2"/>
    <s v="Good Standing"/>
    <s v="Public Health"/>
    <s v="Good Standing"/>
  </r>
  <r>
    <s v="STD0228"/>
    <x v="5"/>
    <n v="58.7"/>
    <n v="62.5"/>
    <n v="69.7"/>
    <n v="80.400000000000006"/>
    <s v="Good Standing"/>
    <s v="Public Health"/>
    <s v="Good Standing"/>
  </r>
  <r>
    <s v="STD0077"/>
    <x v="4"/>
    <n v="58.7"/>
    <n v="64.7"/>
    <n v="69.5"/>
    <n v="69.3"/>
    <s v="At Risk"/>
    <s v="Business Administration"/>
    <s v="At Risk"/>
  </r>
  <r>
    <s v="STD0092"/>
    <x v="1"/>
    <n v="61.9"/>
    <n v="78.400000000000006"/>
    <n v="69"/>
    <n v="90.6"/>
    <s v="Good Standing"/>
    <s v="Unknown"/>
    <s v="Good Standing"/>
  </r>
  <r>
    <s v="STD0217"/>
    <x v="6"/>
    <n v="90.5"/>
    <n v="69.8"/>
    <n v="68.3"/>
    <n v="71.2"/>
    <s v="At Risk"/>
    <s v="Engineering"/>
    <s v="At Risk"/>
  </r>
  <r>
    <s v="STD0009"/>
    <x v="2"/>
    <n v="58.7"/>
    <n v="91"/>
    <n v="68"/>
    <n v="69.099999999999994"/>
    <s v="At Risk"/>
    <s v="Economics"/>
    <s v="At Risk"/>
  </r>
  <r>
    <s v="STD0243"/>
    <x v="5"/>
    <n v="75.599999999999994"/>
    <n v="37.200000000000003"/>
    <n v="68"/>
    <n v="71.543880000000001"/>
    <s v="Unknown"/>
    <s v="Public Health"/>
    <s v="Unknown"/>
  </r>
  <r>
    <s v="STD0086"/>
    <x v="4"/>
    <n v="76.599999999999994"/>
    <n v="45.1"/>
    <n v="67.900000000000006"/>
    <n v="50.7"/>
    <s v="Good Standing"/>
    <s v="Business Administration"/>
    <s v="Good Standing"/>
  </r>
  <r>
    <s v="STD0115"/>
    <x v="3"/>
    <n v="90.5"/>
    <n v="82.5"/>
    <n v="67.599999999999994"/>
    <n v="84.2"/>
    <s v="Good Standing"/>
    <s v="Data Science"/>
    <s v="Good Standing"/>
  </r>
  <r>
    <s v="STD0120"/>
    <x v="5"/>
    <n v="80"/>
    <n v="69.8"/>
    <n v="67.3"/>
    <n v="64.599999999999994"/>
    <s v="At Risk"/>
    <s v="Public Health"/>
    <s v="At Risk"/>
  </r>
  <r>
    <s v="STD0191"/>
    <x v="1"/>
    <n v="58.7"/>
    <n v="58.7"/>
    <n v="67.2"/>
    <n v="76.5"/>
    <s v="Good Standing"/>
    <s v="Unknown"/>
    <s v="Good Standing"/>
  </r>
  <r>
    <s v="STD0169"/>
    <x v="6"/>
    <n v="58.5"/>
    <n v="88"/>
    <n v="67.099999999999994"/>
    <n v="54.1"/>
    <s v="Good Standing"/>
    <s v="Engineering"/>
    <s v="Good Standing"/>
  </r>
  <r>
    <s v="STD0282"/>
    <x v="0"/>
    <n v="95"/>
    <n v="95.2"/>
    <n v="67"/>
    <n v="80.099999999999994"/>
    <s v="Good Standing"/>
    <s v="Computer Science"/>
    <s v="Good Standing"/>
  </r>
  <r>
    <s v="STD0244"/>
    <x v="4"/>
    <n v="79.8"/>
    <n v="42.7"/>
    <n v="66.5"/>
    <n v="75.2"/>
    <s v="Good Standing"/>
    <s v="Business Administration"/>
    <s v="Good Standing"/>
  </r>
  <r>
    <s v="STD0006"/>
    <x v="3"/>
    <n v="85.1"/>
    <n v="67.5"/>
    <n v="66.3"/>
    <n v="64.099999999999994"/>
    <s v="Good Standing"/>
    <s v="Data Science"/>
    <s v="Good Standing"/>
  </r>
  <r>
    <s v="STD0110"/>
    <x v="5"/>
    <n v="85"/>
    <n v="47.5"/>
    <n v="66.2"/>
    <n v="98"/>
    <s v="Good Standing"/>
    <s v="Public Health"/>
    <s v="Good Standing"/>
  </r>
  <r>
    <s v="STD0215"/>
    <x v="4"/>
    <n v="73.099999999999994"/>
    <n v="58.5"/>
    <n v="66.099999999999994"/>
    <n v="69.7"/>
    <s v="Good Standing"/>
    <s v="Business Administration"/>
    <s v="Good Standing"/>
  </r>
  <r>
    <s v="unknow"/>
    <x v="0"/>
    <n v="69.2"/>
    <n v="64.3"/>
    <n v="66.099999999999994"/>
    <n v="93.6"/>
    <s v="Good Standing"/>
    <s v="Computer Science"/>
    <s v="Good Standing"/>
  </r>
  <r>
    <s v="STD0136"/>
    <x v="3"/>
    <n v="71.7"/>
    <n v="83.4"/>
    <n v="66.099999999999994"/>
    <n v="89.8"/>
    <s v="Good Standing"/>
    <s v="Data Science"/>
    <s v="Good Standing"/>
  </r>
  <r>
    <s v="STD0062"/>
    <x v="3"/>
    <n v="82.7"/>
    <n v="88"/>
    <n v="66.099999999999994"/>
    <n v="89.9"/>
    <s v="Good Standing"/>
    <s v="Data Science"/>
    <s v="Good Standing"/>
  </r>
  <r>
    <s v="STD0224"/>
    <x v="0"/>
    <n v="97.1"/>
    <n v="78"/>
    <n v="66"/>
    <n v="66.099999999999994"/>
    <s v="At Risk"/>
    <s v="Computer Science"/>
    <s v="At Risk"/>
  </r>
  <r>
    <s v="STD0058"/>
    <x v="5"/>
    <n v="100"/>
    <n v="75.7"/>
    <n v="66"/>
    <n v="75.2"/>
    <s v="Good Standing"/>
    <s v="Public Health"/>
    <s v="Good Standing"/>
  </r>
  <r>
    <s v="STD0005"/>
    <x v="6"/>
    <n v="86.4"/>
    <n v="53.2"/>
    <n v="65.900000000000006"/>
    <n v="92.9"/>
    <s v="Good Standing"/>
    <s v="Engineering"/>
    <s v="Good Standing"/>
  </r>
  <r>
    <s v="STD0197"/>
    <x v="2"/>
    <n v="91.1"/>
    <n v="74.8"/>
    <n v="65.8"/>
    <n v="63.1"/>
    <s v="Good Standing"/>
    <s v="Economics"/>
    <s v="Good Standing"/>
  </r>
  <r>
    <s v="STD0205"/>
    <x v="0"/>
    <n v="72.8"/>
    <n v="81.3"/>
    <n v="65.8"/>
    <n v="31.9"/>
    <s v="At Risk"/>
    <s v="Computer Science"/>
    <s v="At Risk"/>
  </r>
  <r>
    <s v="STD0001"/>
    <x v="6"/>
    <n v="81.599999999999994"/>
    <n v="74"/>
    <n v="65.5"/>
    <n v="62.2"/>
    <s v="Unknown"/>
    <s v="Engineering"/>
    <s v="Unknown"/>
  </r>
  <r>
    <s v="STD0013"/>
    <x v="3"/>
    <n v="96.8"/>
    <n v="74.2"/>
    <n v="65.400000000000006"/>
    <n v="54.4"/>
    <s v="Good Standing"/>
    <s v="Data Science"/>
    <s v="Good Standing"/>
  </r>
  <r>
    <s v="STD0052"/>
    <x v="2"/>
    <n v="76"/>
    <n v="82.2"/>
    <n v="65.2"/>
    <n v="75.2"/>
    <s v="Good Standing"/>
    <s v="Economics"/>
    <s v="Good Standing"/>
  </r>
  <r>
    <s v="STD0084"/>
    <x v="4"/>
    <n v="90.8"/>
    <n v="72.7"/>
    <n v="65.099999999999994"/>
    <n v="99"/>
    <s v="Good Standing"/>
    <s v="Business Administration"/>
    <s v="Good Standing"/>
  </r>
  <r>
    <s v="STD0044"/>
    <x v="2"/>
    <n v="79.099999999999994"/>
    <n v="39"/>
    <n v="65"/>
    <n v="71.2"/>
    <s v="Good Standing"/>
    <s v="Economics"/>
    <s v="Good Standing"/>
  </r>
  <r>
    <s v="STD0123"/>
    <x v="4"/>
    <n v="97.2"/>
    <n v="91.4"/>
    <n v="64.7"/>
    <n v="60"/>
    <s v="Good Standing"/>
    <s v="Business Administration"/>
    <s v="Good Standing"/>
  </r>
  <r>
    <s v="STD0166"/>
    <x v="1"/>
    <n v="76.2"/>
    <n v="-10"/>
    <n v="64.5"/>
    <n v="62.7"/>
    <s v="Good Standing"/>
    <s v="Unknown"/>
    <s v="Good Standing"/>
  </r>
  <r>
    <s v="STD0184"/>
    <x v="5"/>
    <n v="57"/>
    <n v="86"/>
    <n v="64.400000000000006"/>
    <n v="75.599999999999994"/>
    <s v="Unknown"/>
    <s v="Public Health"/>
    <s v="Unknown"/>
  </r>
  <r>
    <s v="STD0022"/>
    <x v="5"/>
    <n v="41.3"/>
    <n v="80"/>
    <n v="64.099999999999994"/>
    <n v="68.5"/>
    <s v="Good Standing"/>
    <s v="Public Health"/>
    <s v="Good Standing"/>
  </r>
  <r>
    <s v="STD0273"/>
    <x v="5"/>
    <n v="90"/>
    <n v="74.7"/>
    <n v="64.099999999999994"/>
    <n v="87.7"/>
    <s v="At Risk"/>
    <s v="Public Health"/>
    <s v="At Risk"/>
  </r>
  <r>
    <s v="STD0045"/>
    <x v="0"/>
    <n v="87.6"/>
    <n v="91.8"/>
    <n v="64"/>
    <n v="84.7"/>
    <s v="Unknown"/>
    <s v="Computer Science"/>
    <s v="Unknown"/>
  </r>
  <r>
    <s v="STD0220"/>
    <x v="4"/>
    <n v="74.3"/>
    <n v="81.900000000000006"/>
    <n v="63.7"/>
    <n v="34.4"/>
    <s v="At Risk"/>
    <s v="Business Administration"/>
    <s v="At Risk"/>
  </r>
  <r>
    <s v="STD0014"/>
    <x v="3"/>
    <n v="82.6"/>
    <n v="68"/>
    <n v="63.6"/>
    <n v="58.9"/>
    <s v="Good Standing"/>
    <s v="Data Science"/>
    <s v="Good Standing"/>
  </r>
  <r>
    <s v="STD0154"/>
    <x v="0"/>
    <n v="74"/>
    <n v="60.3"/>
    <n v="63.5"/>
    <n v="71"/>
    <s v="Good Standing"/>
    <s v="Computer Science"/>
    <s v="Good Standing"/>
  </r>
  <r>
    <s v="STD0012"/>
    <x v="1"/>
    <n v="100"/>
    <n v="77.099999999999994"/>
    <n v="63.3"/>
    <n v="79"/>
    <s v="Good Standing"/>
    <s v="Unknown"/>
    <s v="Good Standing"/>
  </r>
  <r>
    <s v="STD0127"/>
    <x v="3"/>
    <n v="88.4"/>
    <n v="41"/>
    <n v="63"/>
    <n v="60.2"/>
    <s v="Good Standing"/>
    <s v="Data Science"/>
    <s v="Good Standing"/>
  </r>
  <r>
    <s v="STD0240"/>
    <x v="4"/>
    <n v="99.5"/>
    <n v="92.7"/>
    <n v="62.7"/>
    <n v="81.400000000000006"/>
    <s v="Good Standing"/>
    <s v="Business Administration"/>
    <s v="Good Standing"/>
  </r>
  <r>
    <s v="STD0221"/>
    <x v="6"/>
    <n v="88"/>
    <n v="94.1"/>
    <n v="62.6"/>
    <n v="46.8"/>
    <s v="Good Standing"/>
    <s v="Engineering"/>
    <s v="Good Standing"/>
  </r>
  <r>
    <s v="STD0029"/>
    <x v="3"/>
    <n v="69.599999999999994"/>
    <n v="69.099999999999994"/>
    <n v="62.5"/>
    <n v="76.099999999999994"/>
    <s v="At Risk"/>
    <s v="Data Science"/>
    <s v="At Risk"/>
  </r>
  <r>
    <s v="STD0233"/>
    <x v="4"/>
    <n v="70.900000000000006"/>
    <n v="76.099999999999994"/>
    <n v="62.4"/>
    <n v="92.1"/>
    <s v="Good Standing"/>
    <s v="Business Administration"/>
    <s v="Good Standing"/>
  </r>
  <r>
    <s v="STD0176"/>
    <x v="1"/>
    <n v="92.2"/>
    <n v="79.7"/>
    <n v="62"/>
    <n v="60.3"/>
    <s v="Good Standing"/>
    <s v="Unknown"/>
    <s v="Good Standing"/>
  </r>
  <r>
    <s v="STD0178"/>
    <x v="0"/>
    <n v="77.7"/>
    <n v="69.8"/>
    <n v="61.9"/>
    <n v="70.7"/>
    <s v="Unknown"/>
    <s v="Computer Science"/>
    <s v="Unknown"/>
  </r>
  <r>
    <s v="STD0063"/>
    <x v="5"/>
    <n v="93.7"/>
    <n v="74.099999999999994"/>
    <n v="61.7"/>
    <n v="65"/>
    <s v="Good Standing"/>
    <s v="Public Health"/>
    <s v="Good Standing"/>
  </r>
  <r>
    <s v="STD0117"/>
    <x v="5"/>
    <n v="69.900000000000006"/>
    <n v="80.599999999999994"/>
    <n v="61.3"/>
    <n v="97.7"/>
    <s v="Good Standing"/>
    <s v="Public Health"/>
    <s v="Good Standing"/>
  </r>
  <r>
    <s v="STD0275"/>
    <x v="6"/>
    <n v="80.7"/>
    <n v="99.4"/>
    <n v="61.2"/>
    <n v="58.2"/>
    <s v="Good Standing"/>
    <s v="Engineering"/>
    <s v="Good Standing"/>
  </r>
  <r>
    <s v="STD0068"/>
    <x v="6"/>
    <n v="58.7"/>
    <n v="60.2"/>
    <n v="61.2"/>
    <n v="46.5"/>
    <s v="Good Standing"/>
    <s v="Engineering"/>
    <s v="Good Standing"/>
  </r>
  <r>
    <s v="STD0134"/>
    <x v="6"/>
    <n v="63.9"/>
    <n v="100"/>
    <n v="61.1"/>
    <n v="65.599999999999994"/>
    <s v="Good Standing"/>
    <s v="Engineering"/>
    <s v="Good Standing"/>
  </r>
  <r>
    <s v="STD0281"/>
    <x v="3"/>
    <n v="94.1"/>
    <n v="86.7"/>
    <n v="61"/>
    <n v="38.700000000000003"/>
    <s v="Good Standing"/>
    <s v="Data Science"/>
    <s v="Good Standing"/>
  </r>
  <r>
    <s v="STD0017"/>
    <x v="1"/>
    <n v="82.5"/>
    <n v="69.099999999999994"/>
    <n v="61"/>
    <n v="55.4"/>
    <s v="Good Standing"/>
    <s v="Unknown"/>
    <s v="Good Standing"/>
  </r>
  <r>
    <s v="STD0106"/>
    <x v="5"/>
    <n v="86.6"/>
    <n v="59.5"/>
    <n v="60.9"/>
    <n v="49.8"/>
    <s v="Good Standing"/>
    <s v="Public Health"/>
    <s v="Good Standing"/>
  </r>
  <r>
    <s v="STD0066"/>
    <x v="5"/>
    <n v="82.7"/>
    <n v="63.9"/>
    <n v="60.4"/>
    <n v="87.6"/>
    <s v="Good Standing"/>
    <s v="Public Health"/>
    <s v="Good Standing"/>
  </r>
  <r>
    <s v="STD0089"/>
    <x v="0"/>
    <n v="57.2"/>
    <n v="69.8"/>
    <n v="60.4"/>
    <n v="93"/>
    <s v="Good Standing"/>
    <s v="Computer Science"/>
    <s v="Good Standing"/>
  </r>
  <r>
    <s v="STD0195"/>
    <x v="5"/>
    <n v="81.599999999999994"/>
    <n v="52.8"/>
    <n v="60.2"/>
    <n v="93"/>
    <s v="Unknown"/>
    <s v="Public Health"/>
    <s v="Unknown"/>
  </r>
  <r>
    <s v="STD0040"/>
    <x v="1"/>
    <n v="100"/>
    <n v="50.8"/>
    <n v="59.7"/>
    <n v="78.599999999999994"/>
    <s v="Good Standing"/>
    <s v="Unknown"/>
    <s v="Good Standing"/>
  </r>
  <r>
    <s v="STD0121"/>
    <x v="6"/>
    <n v="98.3"/>
    <n v="92.3"/>
    <n v="59.5"/>
    <n v="69.8"/>
    <s v="At Risk"/>
    <s v="Engineering"/>
    <s v="At Risk"/>
  </r>
  <r>
    <s v="STD0088"/>
    <x v="2"/>
    <n v="68.900000000000006"/>
    <n v="86"/>
    <n v="59.3"/>
    <n v="52.2"/>
    <s v="Good Standing"/>
    <s v="Economics"/>
    <s v="Good Standing"/>
  </r>
  <r>
    <s v="STD0254"/>
    <x v="6"/>
    <n v="86"/>
    <n v="57.7"/>
    <n v="59.3"/>
    <n v="87.8"/>
    <s v="Good Standing"/>
    <s v="Engineering"/>
    <s v="Good Standing"/>
  </r>
  <r>
    <s v="STD0032"/>
    <x v="4"/>
    <n v="65.400000000000006"/>
    <n v="51.2"/>
    <n v="59.2"/>
    <n v="76.599999999999994"/>
    <s v="Good Standing"/>
    <s v="Business Administration"/>
    <s v="Good Standing"/>
  </r>
  <r>
    <s v="STD0223"/>
    <x v="4"/>
    <n v="77.8"/>
    <n v="69.8"/>
    <n v="59.2"/>
    <n v="83.6"/>
    <s v="Good Standing"/>
    <s v="Business Administration"/>
    <s v="Good Standing"/>
  </r>
  <r>
    <s v="STD0124"/>
    <x v="5"/>
    <n v="55.2"/>
    <n v="37.799999999999997"/>
    <n v="59.1"/>
    <n v="71.2"/>
    <s v="At Risk"/>
    <s v="Public Health"/>
    <s v="At Risk"/>
  </r>
  <r>
    <s v="STD0185"/>
    <x v="1"/>
    <n v="86.4"/>
    <n v="86.8"/>
    <n v="58.9"/>
    <n v="56.6"/>
    <s v="Good Standing"/>
    <s v="Unknown"/>
    <s v="Good Standing"/>
  </r>
  <r>
    <s v="STD0024"/>
    <x v="6"/>
    <n v="73.400000000000006"/>
    <n v="23.5"/>
    <n v="58.7"/>
    <n v="80.8"/>
    <s v="At Risk"/>
    <s v="Engineering"/>
    <s v="At Risk"/>
  </r>
  <r>
    <s v="STD0213"/>
    <x v="0"/>
    <n v="58.7"/>
    <n v="88.4"/>
    <n v="58.4"/>
    <n v="85.8"/>
    <s v="Good Standing"/>
    <s v="Computer Science"/>
    <s v="Good Standing"/>
  </r>
  <r>
    <s v="STD0213"/>
    <x v="1"/>
    <n v="85.8"/>
    <n v="88.4"/>
    <n v="58.4"/>
    <n v="85.8"/>
    <s v="Good Standing"/>
    <s v="Unknown"/>
    <s v="Good Standing"/>
  </r>
  <r>
    <s v="STD0080"/>
    <x v="0"/>
    <n v="88.9"/>
    <n v="68.900000000000006"/>
    <n v="58.3"/>
    <n v="74.400000000000006"/>
    <s v="At Risk"/>
    <s v="Computer Science"/>
    <s v="At Risk"/>
  </r>
  <r>
    <s v="STD0149"/>
    <x v="3"/>
    <n v="69.400000000000006"/>
    <n v="95.1"/>
    <n v="58.3"/>
    <n v="88.9"/>
    <s v="Unknown"/>
    <s v="Data Science"/>
    <s v="Unknown"/>
  </r>
  <r>
    <s v="STD0082"/>
    <x v="2"/>
    <n v="58.7"/>
    <n v="67.3"/>
    <n v="58.2"/>
    <n v="33.700000000000003"/>
    <s v="Good Standing"/>
    <s v="Economics"/>
    <s v="Good Standing"/>
  </r>
  <r>
    <s v="STD0102"/>
    <x v="4"/>
    <n v="91.7"/>
    <n v="63.1"/>
    <n v="58.1"/>
    <n v="87.1"/>
    <s v="Good Standing"/>
    <s v="Business Administration"/>
    <s v="Good Standing"/>
  </r>
  <r>
    <s v="unknow"/>
    <x v="2"/>
    <n v="87.6"/>
    <n v="93.9"/>
    <n v="58"/>
    <s v="Unknown"/>
    <s v="Good Standing"/>
    <s v="Economics"/>
    <s v="Good Standing"/>
  </r>
  <r>
    <s v="STD0025"/>
    <x v="3"/>
    <n v="65.2"/>
    <s v="Unknown"/>
    <n v="58"/>
    <n v="91"/>
    <s v="Good Standing"/>
    <s v="Data Science"/>
    <s v="Good Standing"/>
  </r>
  <r>
    <s v="STD0225"/>
    <x v="0"/>
    <n v="91.4"/>
    <n v="69.900000000000006"/>
    <n v="58"/>
    <n v="82.8"/>
    <s v="At Risk"/>
    <s v="Computer Science"/>
    <s v="At Risk"/>
  </r>
  <r>
    <s v="STD0292"/>
    <x v="0"/>
    <n v="100"/>
    <n v="69.8"/>
    <n v="57.9"/>
    <n v="78.8"/>
    <s v="Good Standing"/>
    <s v="Computer Science"/>
    <s v="Good Standing"/>
  </r>
  <r>
    <s v="STD0151"/>
    <x v="0"/>
    <n v="71.8"/>
    <n v="100"/>
    <n v="57.1"/>
    <n v="92.2"/>
    <s v="Unknown"/>
    <s v="Computer Science"/>
    <s v="Unknown"/>
  </r>
  <r>
    <s v="STD0260"/>
    <x v="3"/>
    <n v="76.099999999999994"/>
    <n v="77.5"/>
    <n v="56.8"/>
    <n v="100"/>
    <s v="Good Standing"/>
    <s v="Data Science"/>
    <s v="Good Standing"/>
  </r>
  <r>
    <s v="STD0278"/>
    <x v="3"/>
    <n v="77.599999999999994"/>
    <n v="60.2"/>
    <n v="56.7"/>
    <n v="71.543880000000001"/>
    <s v="Good Standing"/>
    <s v="Data Science"/>
    <s v="Good Standing"/>
  </r>
  <r>
    <s v="STD0035"/>
    <x v="4"/>
    <n v="78"/>
    <n v="54.4"/>
    <n v="56.4"/>
    <n v="82.6"/>
    <s v="Good Standing"/>
    <s v="Business Administration"/>
    <s v="Good Standing"/>
  </r>
  <r>
    <s v="STD0079"/>
    <x v="2"/>
    <n v="73.599999999999994"/>
    <n v="84.8"/>
    <n v="56.4"/>
    <n v="65.2"/>
    <s v="Good Standing"/>
    <s v="Economics"/>
    <s v="Good Standing"/>
  </r>
  <r>
    <s v="STD0155"/>
    <x v="5"/>
    <n v="84.5"/>
    <n v="63.5"/>
    <n v="56.2"/>
    <n v="85.4"/>
    <s v="At Risk"/>
    <s v="Public Health"/>
    <s v="At Risk"/>
  </r>
  <r>
    <s v="STD0188"/>
    <x v="4"/>
    <n v="88.4"/>
    <n v="67.599999999999994"/>
    <n v="56"/>
    <n v="66.2"/>
    <s v="Good Standing"/>
    <s v="Business Administration"/>
    <s v="Good Standing"/>
  </r>
  <r>
    <s v="STD0048"/>
    <x v="0"/>
    <n v="72.900000000000006"/>
    <n v="67.599999999999994"/>
    <n v="55.4"/>
    <n v="77.5"/>
    <s v="Good Standing"/>
    <s v="Computer Science"/>
    <s v="Good Standing"/>
  </r>
  <r>
    <s v="STD0071"/>
    <x v="0"/>
    <n v="88.6"/>
    <n v="77.400000000000006"/>
    <n v="54.8"/>
    <n v="50.6"/>
    <s v="Good Standing"/>
    <s v="Computer Science"/>
    <s v="Good Standing"/>
  </r>
  <r>
    <s v="STD0200"/>
    <x v="4"/>
    <n v="97.4"/>
    <n v="78.3"/>
    <n v="54"/>
    <n v="66.2"/>
    <s v="Good Standing"/>
    <s v="Business Administration"/>
    <s v="Good Standing"/>
  </r>
  <r>
    <s v="STD0172"/>
    <x v="4"/>
    <n v="94.1"/>
    <n v="55.5"/>
    <n v="54"/>
    <n v="65.900000000000006"/>
    <s v="At Risk"/>
    <s v="Business Administration"/>
    <s v="At Risk"/>
  </r>
  <r>
    <s v="STD0263"/>
    <x v="1"/>
    <n v="82"/>
    <n v="84.8"/>
    <n v="53.7"/>
    <n v="91.3"/>
    <s v="Good Standing"/>
    <s v="Unknown"/>
    <s v="Good Standing"/>
  </r>
  <r>
    <s v="STD0069"/>
    <x v="4"/>
    <n v="78.3"/>
    <n v="86.8"/>
    <n v="53.4"/>
    <n v="68.5"/>
    <s v="At Risk"/>
    <s v="Business Administration"/>
    <s v="At Risk"/>
  </r>
  <r>
    <s v="STD0143"/>
    <x v="0"/>
    <n v="61.5"/>
    <n v="75.7"/>
    <n v="53.3"/>
    <n v="72"/>
    <s v="Good Standing"/>
    <s v="Computer Science"/>
    <s v="Good Standing"/>
  </r>
  <r>
    <s v="STD0250"/>
    <x v="0"/>
    <n v="72.900000000000006"/>
    <n v="62.8"/>
    <n v="53.1"/>
    <n v="81.400000000000006"/>
    <s v="Good Standing"/>
    <s v="Computer Science"/>
    <s v="Good Standing"/>
  </r>
  <r>
    <s v="STD0083"/>
    <x v="3"/>
    <n v="86.2"/>
    <n v="88"/>
    <n v="52.9"/>
    <n v="70.2"/>
    <s v="Good Standing"/>
    <s v="Data Science"/>
    <s v="Good Standing"/>
  </r>
  <r>
    <s v="STD0142"/>
    <x v="5"/>
    <n v="58.7"/>
    <n v="52"/>
    <n v="52.5"/>
    <n v="90.8"/>
    <s v="At Risk"/>
    <s v="Public Health"/>
    <s v="At Risk"/>
  </r>
  <r>
    <s v="STD0112"/>
    <x v="4"/>
    <n v="55.6"/>
    <n v="93.7"/>
    <n v="52.4"/>
    <n v="86.7"/>
    <s v="At Risk"/>
    <s v="Business Administration"/>
    <s v="At Risk"/>
  </r>
  <r>
    <s v="STD0004"/>
    <x v="3"/>
    <n v="58.7"/>
    <n v="82.8"/>
    <n v="52.4"/>
    <n v="80.3"/>
    <s v="Unknown"/>
    <s v="Data Science"/>
    <s v="Unknown"/>
  </r>
  <r>
    <s v="unknow"/>
    <x v="3"/>
    <n v="80.900000000000006"/>
    <n v="100"/>
    <n v="52"/>
    <n v="100"/>
    <s v="Good Standing"/>
    <s v="Data Science"/>
    <s v="Good Standing"/>
  </r>
  <r>
    <s v="STD0171"/>
    <x v="6"/>
    <n v="84.5"/>
    <n v="100"/>
    <n v="51.9"/>
    <n v="69.400000000000006"/>
    <s v="Unknown"/>
    <s v="Engineering"/>
    <s v="Unknown"/>
  </r>
  <r>
    <s v="STD0162"/>
    <x v="1"/>
    <n v="93.7"/>
    <n v="73.599999999999994"/>
    <n v="51.5"/>
    <n v="89"/>
    <s v="Good Standing"/>
    <s v="Unknown"/>
    <s v="Good Standing"/>
  </r>
  <r>
    <s v="STD0211"/>
    <x v="4"/>
    <n v="90"/>
    <n v="61.3"/>
    <n v="51.2"/>
    <n v="86.8"/>
    <s v="Good Standing"/>
    <s v="Business Administration"/>
    <s v="Good Standing"/>
  </r>
  <r>
    <s v="STD0274"/>
    <x v="3"/>
    <n v="89.6"/>
    <n v="53.1"/>
    <n v="51"/>
    <n v="71.543880000000001"/>
    <s v="Good Standing"/>
    <s v="Data Science"/>
    <s v="Good Standing"/>
  </r>
  <r>
    <s v="unknow"/>
    <x v="6"/>
    <n v="79.5"/>
    <n v="64.400000000000006"/>
    <n v="50.7"/>
    <n v="50.9"/>
    <s v="Good Standing"/>
    <s v="Engineering"/>
    <s v="Good Standing"/>
  </r>
  <r>
    <s v="STD0078"/>
    <x v="3"/>
    <n v="95.3"/>
    <n v="70.3"/>
    <n v="50.1"/>
    <n v="61"/>
    <s v="Good Standing"/>
    <s v="Data Science"/>
    <s v="Good Standing"/>
  </r>
  <r>
    <s v="STD0280"/>
    <x v="3"/>
    <n v="100"/>
    <n v="78.8"/>
    <n v="49.9"/>
    <n v="66.8"/>
    <s v="Good Standing"/>
    <s v="Data Science"/>
    <s v="Good Standing"/>
  </r>
  <r>
    <s v="STD0103"/>
    <x v="4"/>
    <n v="67.2"/>
    <n v="100"/>
    <n v="49.8"/>
    <n v="71.543880000000001"/>
    <s v="At Risk"/>
    <s v="Business Administration"/>
    <s v="Good Standing"/>
  </r>
  <r>
    <s v="STD0193"/>
    <x v="4"/>
    <n v="85.8"/>
    <n v="87.9"/>
    <n v="49.7"/>
    <n v="40.799999999999997"/>
    <s v="Good Standing"/>
    <s v="Business Administration"/>
    <s v="Good Standing"/>
  </r>
  <r>
    <s v="STD0229"/>
    <x v="5"/>
    <n v="58.7"/>
    <n v="69.8"/>
    <n v="49.5"/>
    <n v="71.543880000000001"/>
    <s v="Good Standing"/>
    <s v="Public Health"/>
    <s v="Good Standing"/>
  </r>
  <r>
    <s v="STD0272"/>
    <x v="5"/>
    <n v="95.4"/>
    <n v="53.1"/>
    <n v="49.5"/>
    <n v="76.2"/>
    <s v="Good Standing"/>
    <s v="Public Health"/>
    <s v="Good Standing"/>
  </r>
  <r>
    <s v="STD0045"/>
    <x v="0"/>
    <n v="87.6"/>
    <n v="91.8"/>
    <n v="49.5"/>
    <n v="84.7"/>
    <s v="Good Standing"/>
    <s v="Computer Science"/>
    <s v="Good Standing"/>
  </r>
  <r>
    <s v="STD0097"/>
    <x v="4"/>
    <n v="74.099999999999994"/>
    <n v="96"/>
    <n v="49.5"/>
    <n v="58"/>
    <s v="Good Standing"/>
    <s v="Business Administration"/>
    <s v="Good Standing"/>
  </r>
  <r>
    <s v="STD0214"/>
    <x v="5"/>
    <n v="96.1"/>
    <s v="-"/>
    <n v="49.5"/>
    <n v="83.8"/>
    <s v="At Risk"/>
    <s v="Public Health"/>
    <s v="Good Standing"/>
  </r>
  <r>
    <s v="STD0053"/>
    <x v="3"/>
    <n v="91.7"/>
    <n v="78.3"/>
    <n v="49.5"/>
    <n v="57.3"/>
    <s v="Good Standing"/>
    <s v="Data Science"/>
    <s v="Good Standing"/>
  </r>
  <r>
    <s v="STD0093"/>
    <x v="4"/>
    <n v="95.6"/>
    <n v="53.2"/>
    <n v="49.5"/>
    <n v="78.7"/>
    <s v="Good Standing"/>
    <s v="Business Administration"/>
    <s v="Good Standing"/>
  </r>
  <r>
    <s v="STD0118"/>
    <x v="4"/>
    <n v="96.3"/>
    <n v="70.900000000000006"/>
    <n v="49.5"/>
    <n v="57.9"/>
    <s v="At Risk"/>
    <s v="Business Administration"/>
    <s v="At Risk"/>
  </r>
  <r>
    <s v="STD0098"/>
    <x v="4"/>
    <n v="80.7"/>
    <n v="100"/>
    <n v="49.5"/>
    <n v="72.3"/>
    <s v="Good Standing"/>
    <s v="Business Administration"/>
    <s v="Good Standing"/>
  </r>
  <r>
    <s v="STD0168"/>
    <x v="2"/>
    <n v="58.7"/>
    <n v="75.3"/>
    <n v="49.5"/>
    <n v="83.6"/>
    <s v="Good Standing"/>
    <s v="Economics"/>
    <s v="At Risk"/>
  </r>
  <r>
    <s v="STD0181"/>
    <x v="2"/>
    <n v="72.099999999999994"/>
    <n v="61.7"/>
    <n v="49.5"/>
    <n v="59.5"/>
    <s v="At Risk"/>
    <s v="Economics"/>
    <s v="Good Standing"/>
  </r>
  <r>
    <s v="STD0227"/>
    <x v="6"/>
    <n v="68.900000000000006"/>
    <n v="60.9"/>
    <n v="49.5"/>
    <n v="77.2"/>
    <s v="At Risk"/>
    <s v="Engineering"/>
    <s v="Good Standing"/>
  </r>
  <r>
    <s v="STD0206"/>
    <x v="0"/>
    <n v="74.900000000000006"/>
    <n v="85.2"/>
    <n v="49.5"/>
    <n v="64.099999999999994"/>
    <s v="Good Standing"/>
    <s v="Computer Science"/>
    <s v="Good Standing"/>
  </r>
  <r>
    <s v="STD0042"/>
    <x v="0"/>
    <n v="90"/>
    <n v="87.2"/>
    <n v="49.5"/>
    <n v="88.9"/>
    <s v="Good Standing"/>
    <s v="Computer Science"/>
    <s v="At Risk"/>
  </r>
  <r>
    <s v="STD0239"/>
    <x v="3"/>
    <n v="92.8"/>
    <n v="64.8"/>
    <n v="49.5"/>
    <n v="60.7"/>
    <s v="Good Standing"/>
    <s v="Data Science"/>
    <s v="Good Standing"/>
  </r>
  <r>
    <s v="STD0059"/>
    <x v="0"/>
    <n v="88.7"/>
    <n v="84"/>
    <n v="49.5"/>
    <n v="53.3"/>
    <s v="Unknown"/>
    <s v="Computer Science"/>
    <s v="Good Standing"/>
  </r>
  <r>
    <s v="STD0139"/>
    <x v="5"/>
    <n v="84.9"/>
    <n v="80.7"/>
    <n v="49.5"/>
    <n v="49.2"/>
    <s v="Good Standing"/>
    <s v="Public Health"/>
    <s v="At Risk"/>
  </r>
  <r>
    <s v="STD0257"/>
    <x v="3"/>
    <n v="79.900000000000006"/>
    <n v="62.6"/>
    <n v="49.5"/>
    <n v="62.3"/>
    <s v="Unknown"/>
    <s v="Data Science"/>
    <s v="Good Standing"/>
  </r>
  <r>
    <s v="STD0204"/>
    <x v="5"/>
    <n v="75.2"/>
    <n v="76.400000000000006"/>
    <n v="49.5"/>
    <n v="98.9"/>
    <s v="Good Standing"/>
    <s v="Public Health"/>
    <s v="Good Standing"/>
  </r>
  <r>
    <s v="STD0150"/>
    <x v="6"/>
    <n v="69.900000000000006"/>
    <n v="80.7"/>
    <n v="49.5"/>
    <n v="88.2"/>
    <s v="Good Standing"/>
    <s v="Engineering"/>
    <s v="Good Standing"/>
  </r>
  <r>
    <s v="STD0267"/>
    <x v="1"/>
    <n v="93.2"/>
    <n v="70.8"/>
    <n v="49.3"/>
    <n v="45.8"/>
    <s v="Good Standing"/>
    <s v="Unknown"/>
    <s v="Good Standing"/>
  </r>
  <r>
    <s v="STD0158"/>
    <x v="0"/>
    <n v="78.3"/>
    <n v="57"/>
    <n v="49"/>
    <n v="85.7"/>
    <s v="At Risk"/>
    <s v="Computer Science"/>
    <s v="Good Standing"/>
  </r>
  <r>
    <s v="STD0210"/>
    <x v="4"/>
    <n v="77.3"/>
    <n v="67.5"/>
    <n v="48.8"/>
    <n v="66.599999999999994"/>
    <s v="Good Standing"/>
    <s v="Business Administration"/>
    <s v="At Risk"/>
  </r>
  <r>
    <s v="STD0104"/>
    <x v="4"/>
    <n v="92"/>
    <n v="52.1"/>
    <n v="48.5"/>
    <n v="99.8"/>
    <s v="Good Standing"/>
    <s v="Business Administration"/>
    <s v="Good Standing"/>
  </r>
  <r>
    <s v="STD0246"/>
    <x v="3"/>
    <n v="77.900000000000006"/>
    <n v="97.9"/>
    <n v="48.1"/>
    <n v="46"/>
    <s v="Good Standing"/>
    <s v="Data Science"/>
    <s v="Good Standing"/>
  </r>
  <r>
    <s v="STD0144"/>
    <x v="2"/>
    <n v="90.6"/>
    <n v="60.9"/>
    <n v="48"/>
    <n v="39.200000000000003"/>
    <s v="Good Standing"/>
    <s v="Economics"/>
    <s v="Good Standing"/>
  </r>
  <r>
    <s v="STD0132"/>
    <x v="0"/>
    <n v="45.5"/>
    <n v="52.9"/>
    <n v="47.8"/>
    <n v="45.5"/>
    <s v="Good Standing"/>
    <s v="Computer Science"/>
    <s v="Good Standing"/>
  </r>
  <r>
    <s v="STD0132"/>
    <x v="0"/>
    <n v="45.5"/>
    <n v="-1"/>
    <n v="47.8"/>
    <n v="45.5"/>
    <s v="Good Standing"/>
    <s v="Computer Science"/>
    <s v="At Risk"/>
  </r>
  <r>
    <s v="STD0061"/>
    <x v="5"/>
    <n v="62.8"/>
    <n v="82.1"/>
    <n v="47.3"/>
    <n v="68.599999999999994"/>
    <s v="At Risk"/>
    <s v="Public Health"/>
    <s v="Good Standing"/>
  </r>
  <r>
    <s v="STD0245"/>
    <x v="4"/>
    <n v="62.9"/>
    <n v="64.2"/>
    <n v="46.4"/>
    <n v="100"/>
    <s v="Good Standing"/>
    <s v="Business Administration"/>
    <s v="At Risk"/>
  </r>
  <r>
    <s v="STD0141"/>
    <x v="5"/>
    <n v="92.4"/>
    <n v="50.8"/>
    <n v="45.7"/>
    <n v="77.2"/>
    <s v="Good Standing"/>
    <s v="Public Health"/>
    <s v="At Risk"/>
  </r>
  <r>
    <s v="STD0201"/>
    <x v="4"/>
    <n v="96.6"/>
    <n v="68.900000000000006"/>
    <n v="45.6"/>
    <n v="85"/>
    <s v="Good Standing"/>
    <s v="Business Administration"/>
    <s v="Unknown"/>
  </r>
  <r>
    <s v="STD0201"/>
    <x v="4"/>
    <n v="96.6"/>
    <n v="69.8"/>
    <n v="45.6"/>
    <n v="85"/>
    <s v="Good Standing"/>
    <s v="Business Administration"/>
    <s v="Good Standing"/>
  </r>
  <r>
    <s v="unknow"/>
    <x v="3"/>
    <n v="76.099999999999994"/>
    <n v="49"/>
    <n v="44.8"/>
    <n v="42"/>
    <s v="Good Standing"/>
    <s v="Data Science"/>
    <s v="Good Standing"/>
  </r>
  <r>
    <s v="STD0262"/>
    <x v="2"/>
    <n v="75.599999999999994"/>
    <n v="30.3"/>
    <n v="44.7"/>
    <n v="70.599999999999994"/>
    <s v="Good Standing"/>
    <s v="Economics"/>
    <s v="At Risk"/>
  </r>
  <r>
    <s v="STD0202"/>
    <x v="3"/>
    <n v="79.099999999999994"/>
    <n v="45.6"/>
    <n v="44.6"/>
    <n v="76.5"/>
    <s v="Good Standing"/>
    <s v="Data Science"/>
    <s v="Good Standing"/>
  </r>
  <r>
    <s v="STD0113"/>
    <x v="0"/>
    <n v="83.8"/>
    <n v="72.2"/>
    <n v="44.1"/>
    <n v="71.543880000000001"/>
    <s v="Unknown"/>
    <s v="Computer Science"/>
    <s v="Good Standing"/>
  </r>
  <r>
    <s v="STD0199"/>
    <x v="0"/>
    <n v="89.2"/>
    <n v="65.2"/>
    <n v="43.5"/>
    <n v="71.543880000000001"/>
    <s v="Good Standing"/>
    <s v="Computer Science"/>
    <s v="Good Standing"/>
  </r>
  <r>
    <s v="STD0256"/>
    <x v="0"/>
    <n v="81.400000000000006"/>
    <n v="46.5"/>
    <n v="43.4"/>
    <n v="62.6"/>
    <s v="Unknown"/>
    <s v="Computer Science"/>
    <s v="Good Standing"/>
  </r>
  <r>
    <s v="STD0277"/>
    <x v="3"/>
    <n v="79.5"/>
    <n v="82"/>
    <n v="43.2"/>
    <n v="71.543880000000001"/>
    <s v="Good Standing"/>
    <s v="Data Science"/>
    <s v="Good Standing"/>
  </r>
  <r>
    <s v="STD0114"/>
    <x v="2"/>
    <n v="97.7"/>
    <n v="82.3"/>
    <n v="42.3"/>
    <n v="78.5"/>
    <s v="Good Standing"/>
    <s v="Economics"/>
    <s v="Good Standing"/>
  </r>
  <r>
    <s v="STD0070"/>
    <x v="2"/>
    <n v="71.900000000000006"/>
    <n v="56.3"/>
    <n v="41.9"/>
    <n v="75.599999999999994"/>
    <s v="Good Standing"/>
    <s v="Economics"/>
    <s v="Good Standing"/>
  </r>
  <r>
    <s v="STD0021"/>
    <x v="5"/>
    <n v="76.5"/>
    <n v="63.4"/>
    <n v="40.4"/>
    <n v="51.8"/>
    <s v="At Risk"/>
    <s v="Public Health"/>
    <s v="Good Standing"/>
  </r>
  <r>
    <s v="unknow"/>
    <x v="4"/>
    <n v="66.8"/>
    <n v="79.900000000000006"/>
    <n v="39.6"/>
    <n v="37.6"/>
    <s v="Good Standing"/>
    <s v="Business Administration"/>
    <s v="Good Standing"/>
  </r>
  <r>
    <s v="STD0038"/>
    <x v="6"/>
    <n v="85.2"/>
    <n v="76.099999999999994"/>
    <n v="38.9"/>
    <n v="94.1"/>
    <s v="Good Standing"/>
    <s v="Engineering"/>
    <s v="Good Standing"/>
  </r>
  <r>
    <s v="STD0234"/>
    <x v="0"/>
    <n v="68.900000000000006"/>
    <n v="85.3"/>
    <n v="38.6"/>
    <n v="71"/>
    <s v="Good Standing"/>
    <s v="Computer Science"/>
    <s v="At Risk"/>
  </r>
  <r>
    <s v="STD0018"/>
    <x v="4"/>
    <n v="84.4"/>
    <n v="85.3"/>
    <n v="33.5"/>
    <n v="100"/>
    <s v="Good Standing"/>
    <s v="Business Administration"/>
    <s v="Good Standing"/>
  </r>
  <r>
    <s v="STD0148"/>
    <x v="0"/>
    <n v="82.5"/>
    <n v="60.3"/>
    <n v="33.200000000000003"/>
    <n v="85.2"/>
    <s v="Good Standing"/>
    <s v="Computer Science"/>
    <s v="Good Standing"/>
  </r>
  <r>
    <s v="STD0081"/>
    <x v="3"/>
    <n v="84.6"/>
    <n v="80.5"/>
    <n v="32.9"/>
    <n v="36.799999999999997"/>
    <s v="Good Standing"/>
    <s v="Data Science"/>
    <s v="Good Standing"/>
  </r>
  <r>
    <s v="unknow"/>
    <x v="3"/>
    <n v="82"/>
    <n v="68.8"/>
    <n v="31.2"/>
    <n v="85.3"/>
    <s v="At Risk"/>
    <s v="Data Science"/>
    <s v="At Risk"/>
  </r>
  <r>
    <s v="STD0099"/>
    <x v="2"/>
    <n v="85.5"/>
    <n v="64.599999999999994"/>
    <n v="29.6"/>
    <n v="89.8"/>
    <s v="Good Standing"/>
    <s v="Economics"/>
    <s v="Unknown"/>
  </r>
  <r>
    <s v="STD0128"/>
    <x v="4"/>
    <n v="82.6"/>
    <n v="57.2"/>
    <n v="22.2"/>
    <n v="60.4"/>
    <s v="Good Standing"/>
    <s v="Business Administration"/>
    <s v="Good Standing"/>
  </r>
  <r>
    <s v="STD0125"/>
    <x v="6"/>
    <n v="83.8"/>
    <n v="79.2"/>
    <n v="11.4"/>
    <n v="49.5"/>
    <s v="Good Standing"/>
    <s v="Engineering"/>
    <s v="Good Standing"/>
  </r>
  <r>
    <s v="STD0057"/>
    <x v="0"/>
    <n v="83.9"/>
    <n v="96.6"/>
    <n v="-2"/>
    <n v="91.8"/>
    <s v="Good Standing"/>
    <s v="Computer Science"/>
    <s v="Good Standing"/>
  </r>
  <r>
    <m/>
    <x v="7"/>
    <m/>
    <m/>
    <m/>
    <m/>
    <m/>
    <m/>
    <m/>
  </r>
  <r>
    <m/>
    <x v="7"/>
    <m/>
    <m/>
    <m/>
    <m/>
    <m/>
    <m/>
    <m/>
  </r>
  <r>
    <m/>
    <x v="7"/>
    <m/>
    <m/>
    <m/>
    <m/>
    <m/>
    <m/>
    <m/>
  </r>
  <r>
    <m/>
    <x v="7"/>
    <n v="297"/>
    <m/>
    <m/>
    <m/>
    <m/>
    <m/>
    <m/>
  </r>
  <r>
    <m/>
    <x v="7"/>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7">
  <r>
    <s v="STD0192"/>
    <x v="0"/>
    <x v="0"/>
    <x v="0"/>
    <x v="0"/>
    <x v="0"/>
    <x v="0"/>
    <x v="0"/>
    <x v="0"/>
    <s v="Good Standing"/>
    <s v="Good Standing"/>
    <s v="Computer Science"/>
  </r>
  <r>
    <s v="STD0160"/>
    <x v="0"/>
    <x v="1"/>
    <x v="1"/>
    <x v="1"/>
    <x v="1"/>
    <x v="0"/>
    <x v="0"/>
    <x v="0"/>
    <s v="Good Standing"/>
    <s v="Good Standing"/>
    <s v="Computer Science"/>
  </r>
  <r>
    <s v="STD0056"/>
    <x v="1"/>
    <x v="2"/>
    <x v="2"/>
    <x v="1"/>
    <x v="2"/>
    <x v="0"/>
    <x v="1"/>
    <x v="0"/>
    <s v="Good Standing"/>
    <s v="Good Standing"/>
    <s v="Unknown"/>
  </r>
  <r>
    <s v="STD0010"/>
    <x v="2"/>
    <x v="3"/>
    <x v="3"/>
    <x v="1"/>
    <x v="3"/>
    <x v="1"/>
    <x v="2"/>
    <x v="1"/>
    <s v="At Risk"/>
    <s v="At Risk"/>
    <s v="Economics"/>
  </r>
  <r>
    <s v="STD0161"/>
    <x v="3"/>
    <x v="4"/>
    <x v="4"/>
    <x v="1"/>
    <x v="4"/>
    <x v="0"/>
    <x v="3"/>
    <x v="0"/>
    <s v="Good Standing"/>
    <s v="Good Standing"/>
    <s v="Data Science"/>
  </r>
  <r>
    <s v="STD0085"/>
    <x v="0"/>
    <x v="5"/>
    <x v="5"/>
    <x v="1"/>
    <x v="5"/>
    <x v="0"/>
    <x v="0"/>
    <x v="0"/>
    <s v="Good Standing"/>
    <s v="Good Standing"/>
    <s v="Computer Science"/>
  </r>
  <r>
    <s v="STD0015"/>
    <x v="3"/>
    <x v="6"/>
    <x v="6"/>
    <x v="1"/>
    <x v="6"/>
    <x v="0"/>
    <x v="3"/>
    <x v="0"/>
    <s v="Good Standing"/>
    <s v="Good Standing"/>
    <s v="Data Science"/>
  </r>
  <r>
    <s v="STD0156"/>
    <x v="4"/>
    <x v="7"/>
    <x v="4"/>
    <x v="1"/>
    <x v="7"/>
    <x v="0"/>
    <x v="4"/>
    <x v="0"/>
    <s v="Good Standing"/>
    <s v="Good Standing"/>
    <s v="Business Administration"/>
  </r>
  <r>
    <s v="STD0140"/>
    <x v="0"/>
    <x v="8"/>
    <x v="7"/>
    <x v="1"/>
    <x v="8"/>
    <x v="1"/>
    <x v="0"/>
    <x v="1"/>
    <s v="At Risk"/>
    <s v="At Risk"/>
    <s v="Computer Science"/>
  </r>
  <r>
    <s v="STD0266"/>
    <x v="0"/>
    <x v="9"/>
    <x v="8"/>
    <x v="2"/>
    <x v="9"/>
    <x v="0"/>
    <x v="0"/>
    <x v="0"/>
    <s v="Good Standing"/>
    <s v="Good Standing"/>
    <s v="Computer Science"/>
  </r>
  <r>
    <s v="STD0050"/>
    <x v="5"/>
    <x v="10"/>
    <x v="9"/>
    <x v="3"/>
    <x v="10"/>
    <x v="1"/>
    <x v="5"/>
    <x v="1"/>
    <s v="At Risk"/>
    <s v="At Risk"/>
    <s v="Public Health"/>
  </r>
  <r>
    <s v="unknow"/>
    <x v="0"/>
    <x v="11"/>
    <x v="10"/>
    <x v="4"/>
    <x v="11"/>
    <x v="1"/>
    <x v="0"/>
    <x v="1"/>
    <s v="At Risk"/>
    <s v="At Risk"/>
    <s v="Computer Science"/>
  </r>
  <r>
    <s v="STD0187"/>
    <x v="5"/>
    <x v="12"/>
    <x v="11"/>
    <x v="5"/>
    <x v="12"/>
    <x v="2"/>
    <x v="5"/>
    <x v="2"/>
    <s v="Unknown"/>
    <s v="Unknown"/>
    <s v="Public Health"/>
  </r>
  <r>
    <s v="STD0235"/>
    <x v="5"/>
    <x v="13"/>
    <x v="12"/>
    <x v="6"/>
    <x v="13"/>
    <x v="0"/>
    <x v="5"/>
    <x v="0"/>
    <s v="Good Standing"/>
    <s v="Good Standing"/>
    <s v="Public Health"/>
  </r>
  <r>
    <s v="STD0182"/>
    <x v="5"/>
    <x v="14"/>
    <x v="13"/>
    <x v="7"/>
    <x v="14"/>
    <x v="0"/>
    <x v="5"/>
    <x v="0"/>
    <s v="Good Standing"/>
    <s v="Good Standing"/>
    <s v="Public Health"/>
  </r>
  <r>
    <s v="STD0186"/>
    <x v="5"/>
    <x v="15"/>
    <x v="14"/>
    <x v="8"/>
    <x v="15"/>
    <x v="1"/>
    <x v="5"/>
    <x v="1"/>
    <s v="At Risk"/>
    <s v="At Risk"/>
    <s v="Public Health"/>
  </r>
  <r>
    <s v="STD0096"/>
    <x v="3"/>
    <x v="16"/>
    <x v="15"/>
    <x v="9"/>
    <x v="16"/>
    <x v="0"/>
    <x v="3"/>
    <x v="0"/>
    <s v="Good Standing"/>
    <s v="Good Standing"/>
    <s v="Data Science"/>
  </r>
  <r>
    <s v="STD0222"/>
    <x v="6"/>
    <x v="17"/>
    <x v="13"/>
    <x v="10"/>
    <x v="17"/>
    <x v="0"/>
    <x v="6"/>
    <x v="0"/>
    <s v="Good Standing"/>
    <s v="Good Standing"/>
    <s v="Engineering"/>
  </r>
  <r>
    <s v="STD0087"/>
    <x v="6"/>
    <x v="18"/>
    <x v="0"/>
    <x v="11"/>
    <x v="18"/>
    <x v="0"/>
    <x v="6"/>
    <x v="0"/>
    <s v="Good Standing"/>
    <s v="Good Standing"/>
    <s v="Engineering"/>
  </r>
  <r>
    <s v="STD0218"/>
    <x v="0"/>
    <x v="19"/>
    <x v="16"/>
    <x v="12"/>
    <x v="19"/>
    <x v="0"/>
    <x v="0"/>
    <x v="0"/>
    <s v="Good Standing"/>
    <s v="Good Standing"/>
    <s v="Computer Science"/>
  </r>
  <r>
    <s v="STD0269"/>
    <x v="4"/>
    <x v="20"/>
    <x v="17"/>
    <x v="13"/>
    <x v="20"/>
    <x v="0"/>
    <x v="4"/>
    <x v="0"/>
    <s v="Good Standing"/>
    <s v="Good Standing"/>
    <s v="Business Administration"/>
  </r>
  <r>
    <s v="STD0248"/>
    <x v="0"/>
    <x v="21"/>
    <x v="18"/>
    <x v="14"/>
    <x v="21"/>
    <x v="0"/>
    <x v="0"/>
    <x v="0"/>
    <s v="Good Standing"/>
    <s v="Good Standing"/>
    <s v="Computer Science"/>
  </r>
  <r>
    <s v="STD0095"/>
    <x v="5"/>
    <x v="22"/>
    <x v="19"/>
    <x v="15"/>
    <x v="22"/>
    <x v="0"/>
    <x v="5"/>
    <x v="0"/>
    <s v="Good Standing"/>
    <s v="Good Standing"/>
    <s v="Public Health"/>
  </r>
  <r>
    <s v="unknow"/>
    <x v="4"/>
    <x v="23"/>
    <x v="20"/>
    <x v="16"/>
    <x v="23"/>
    <x v="0"/>
    <x v="4"/>
    <x v="0"/>
    <s v="Good Standing"/>
    <s v="Good Standing"/>
    <s v="Business Administration"/>
  </r>
  <r>
    <s v="STD0129"/>
    <x v="2"/>
    <x v="24"/>
    <x v="21"/>
    <x v="17"/>
    <x v="24"/>
    <x v="0"/>
    <x v="2"/>
    <x v="0"/>
    <s v="Good Standing"/>
    <s v="Good Standing"/>
    <s v="Economics"/>
  </r>
  <r>
    <s v="unknow"/>
    <x v="2"/>
    <x v="25"/>
    <x v="22"/>
    <x v="18"/>
    <x v="25"/>
    <x v="0"/>
    <x v="2"/>
    <x v="0"/>
    <s v="Good Standing"/>
    <s v="Good Standing"/>
    <s v="Economics"/>
  </r>
  <r>
    <s v="STD0252"/>
    <x v="5"/>
    <x v="26"/>
    <x v="23"/>
    <x v="19"/>
    <x v="26"/>
    <x v="1"/>
    <x v="5"/>
    <x v="1"/>
    <s v="At Risk"/>
    <s v="At Risk"/>
    <s v="Public Health"/>
  </r>
  <r>
    <s v="STD0284"/>
    <x v="3"/>
    <x v="27"/>
    <x v="24"/>
    <x v="20"/>
    <x v="27"/>
    <x v="0"/>
    <x v="3"/>
    <x v="0"/>
    <s v="Good Standing"/>
    <s v="Good Standing"/>
    <s v="Data Science"/>
  </r>
  <r>
    <s v="STD0251"/>
    <x v="3"/>
    <x v="28"/>
    <x v="25"/>
    <x v="21"/>
    <x v="28"/>
    <x v="0"/>
    <x v="3"/>
    <x v="0"/>
    <s v="Good Standing"/>
    <s v="Good Standing"/>
    <s v="Data Science"/>
  </r>
  <r>
    <s v="STD0126"/>
    <x v="4"/>
    <x v="29"/>
    <x v="26"/>
    <x v="22"/>
    <x v="29"/>
    <x v="0"/>
    <x v="4"/>
    <x v="0"/>
    <s v="Good Standing"/>
    <s v="Good Standing"/>
    <s v="Business Administration"/>
  </r>
  <r>
    <s v="STD0137"/>
    <x v="0"/>
    <x v="30"/>
    <x v="27"/>
    <x v="22"/>
    <x v="30"/>
    <x v="1"/>
    <x v="0"/>
    <x v="1"/>
    <s v="At Risk"/>
    <s v="At Risk"/>
    <s v="Computer Science"/>
  </r>
  <r>
    <s v="STD0289"/>
    <x v="3"/>
    <x v="31"/>
    <x v="28"/>
    <x v="23"/>
    <x v="31"/>
    <x v="2"/>
    <x v="3"/>
    <x v="2"/>
    <s v="Unknown"/>
    <s v="Unknown"/>
    <s v="Data Science"/>
  </r>
  <r>
    <s v="STD0173"/>
    <x v="6"/>
    <x v="32"/>
    <x v="29"/>
    <x v="23"/>
    <x v="28"/>
    <x v="0"/>
    <x v="6"/>
    <x v="0"/>
    <s v="Good Standing"/>
    <s v="Good Standing"/>
    <s v="Engineering"/>
  </r>
  <r>
    <s v="STD0074"/>
    <x v="1"/>
    <x v="33"/>
    <x v="30"/>
    <x v="24"/>
    <x v="32"/>
    <x v="0"/>
    <x v="1"/>
    <x v="0"/>
    <s v="Good Standing"/>
    <s v="Good Standing"/>
    <s v="Unknown"/>
  </r>
  <r>
    <s v="STD0075"/>
    <x v="4"/>
    <x v="34"/>
    <x v="31"/>
    <x v="25"/>
    <x v="33"/>
    <x v="0"/>
    <x v="4"/>
    <x v="0"/>
    <s v="Good Standing"/>
    <s v="Good Standing"/>
    <s v="Business Administration"/>
  </r>
  <r>
    <s v="STD0108"/>
    <x v="3"/>
    <x v="35"/>
    <x v="32"/>
    <x v="26"/>
    <x v="34"/>
    <x v="0"/>
    <x v="3"/>
    <x v="0"/>
    <s v="Good Standing"/>
    <s v="Good Standing"/>
    <s v="Data Science"/>
  </r>
  <r>
    <s v="STD0051"/>
    <x v="4"/>
    <x v="36"/>
    <x v="33"/>
    <x v="27"/>
    <x v="35"/>
    <x v="0"/>
    <x v="4"/>
    <x v="0"/>
    <s v="Good Standing"/>
    <s v="Good Standing"/>
    <s v="Business Administration"/>
  </r>
  <r>
    <s v="STD0152"/>
    <x v="6"/>
    <x v="30"/>
    <x v="34"/>
    <x v="28"/>
    <x v="32"/>
    <x v="0"/>
    <x v="6"/>
    <x v="0"/>
    <s v="Good Standing"/>
    <s v="Good Standing"/>
    <s v="Engineering"/>
  </r>
  <r>
    <s v="STD0249"/>
    <x v="3"/>
    <x v="37"/>
    <x v="35"/>
    <x v="29"/>
    <x v="36"/>
    <x v="2"/>
    <x v="3"/>
    <x v="2"/>
    <s v="Unknown"/>
    <s v="Unknown"/>
    <s v="Data Science"/>
  </r>
  <r>
    <s v="STD0135"/>
    <x v="0"/>
    <x v="38"/>
    <x v="36"/>
    <x v="30"/>
    <x v="37"/>
    <x v="0"/>
    <x v="0"/>
    <x v="0"/>
    <s v="Good Standing"/>
    <s v="Good Standing"/>
    <s v="Computer Science"/>
  </r>
  <r>
    <s v="STD0138"/>
    <x v="0"/>
    <x v="39"/>
    <x v="4"/>
    <x v="31"/>
    <x v="38"/>
    <x v="1"/>
    <x v="0"/>
    <x v="1"/>
    <s v="At Risk"/>
    <s v="At Risk"/>
    <s v="Computer Science"/>
  </r>
  <r>
    <s v="STD0285"/>
    <x v="6"/>
    <x v="40"/>
    <x v="37"/>
    <x v="32"/>
    <x v="39"/>
    <x v="2"/>
    <x v="6"/>
    <x v="2"/>
    <s v="Unknown"/>
    <s v="Unknown"/>
    <s v="Engineering"/>
  </r>
  <r>
    <s v="STD0170"/>
    <x v="4"/>
    <x v="41"/>
    <x v="38"/>
    <x v="33"/>
    <x v="40"/>
    <x v="1"/>
    <x v="4"/>
    <x v="1"/>
    <s v="At Risk"/>
    <s v="At Risk"/>
    <s v="Business Administration"/>
  </r>
  <r>
    <s v="STD0212"/>
    <x v="2"/>
    <x v="7"/>
    <x v="39"/>
    <x v="34"/>
    <x v="41"/>
    <x v="0"/>
    <x v="2"/>
    <x v="0"/>
    <s v="Good Standing"/>
    <s v="Good Standing"/>
    <s v="Economics"/>
  </r>
  <r>
    <s v="STD0105"/>
    <x v="6"/>
    <x v="42"/>
    <x v="40"/>
    <x v="34"/>
    <x v="42"/>
    <x v="0"/>
    <x v="6"/>
    <x v="0"/>
    <s v="Good Standing"/>
    <s v="Good Standing"/>
    <s v="Engineering"/>
  </r>
  <r>
    <s v="STD0116"/>
    <x v="6"/>
    <x v="43"/>
    <x v="41"/>
    <x v="35"/>
    <x v="43"/>
    <x v="0"/>
    <x v="6"/>
    <x v="0"/>
    <s v="Good Standing"/>
    <s v="Good Standing"/>
    <s v="Engineering"/>
  </r>
  <r>
    <s v="STD0165"/>
    <x v="3"/>
    <x v="44"/>
    <x v="42"/>
    <x v="36"/>
    <x v="44"/>
    <x v="0"/>
    <x v="3"/>
    <x v="0"/>
    <s v="Good Standing"/>
    <s v="Good Standing"/>
    <s v="Data Science"/>
  </r>
  <r>
    <s v="STD0231"/>
    <x v="0"/>
    <x v="45"/>
    <x v="43"/>
    <x v="37"/>
    <x v="45"/>
    <x v="0"/>
    <x v="0"/>
    <x v="0"/>
    <s v="Good Standing"/>
    <s v="Good Standing"/>
    <s v="Computer Science"/>
  </r>
  <r>
    <s v="STD0259"/>
    <x v="3"/>
    <x v="46"/>
    <x v="44"/>
    <x v="38"/>
    <x v="11"/>
    <x v="0"/>
    <x v="3"/>
    <x v="0"/>
    <s v="Good Standing"/>
    <s v="Good Standing"/>
    <s v="Data Science"/>
  </r>
  <r>
    <s v="unknow"/>
    <x v="0"/>
    <x v="47"/>
    <x v="45"/>
    <x v="39"/>
    <x v="46"/>
    <x v="1"/>
    <x v="0"/>
    <x v="1"/>
    <s v="At Risk"/>
    <s v="At Risk"/>
    <s v="Computer Science"/>
  </r>
  <r>
    <s v="STD0203"/>
    <x v="6"/>
    <x v="48"/>
    <x v="46"/>
    <x v="40"/>
    <x v="47"/>
    <x v="0"/>
    <x v="6"/>
    <x v="0"/>
    <s v="Good Standing"/>
    <s v="Good Standing"/>
    <s v="Engineering"/>
  </r>
  <r>
    <s v="STD0130"/>
    <x v="4"/>
    <x v="49"/>
    <x v="47"/>
    <x v="41"/>
    <x v="48"/>
    <x v="0"/>
    <x v="4"/>
    <x v="0"/>
    <s v="Good Standing"/>
    <s v="Good Standing"/>
    <s v="Business Administration"/>
  </r>
  <r>
    <s v="STD0101"/>
    <x v="0"/>
    <x v="50"/>
    <x v="48"/>
    <x v="42"/>
    <x v="49"/>
    <x v="2"/>
    <x v="0"/>
    <x v="2"/>
    <s v="Unknown"/>
    <s v="Unknown"/>
    <s v="Computer Science"/>
  </r>
  <r>
    <s v="STD0037"/>
    <x v="1"/>
    <x v="51"/>
    <x v="49"/>
    <x v="42"/>
    <x v="11"/>
    <x v="0"/>
    <x v="1"/>
    <x v="0"/>
    <s v="Good Standing"/>
    <s v="Good Standing"/>
    <s v="Unknown"/>
  </r>
  <r>
    <s v="STD0279"/>
    <x v="1"/>
    <x v="52"/>
    <x v="50"/>
    <x v="43"/>
    <x v="50"/>
    <x v="0"/>
    <x v="1"/>
    <x v="0"/>
    <s v="Good Standing"/>
    <s v="Good Standing"/>
    <s v="Unknown"/>
  </r>
  <r>
    <s v="STD0196"/>
    <x v="5"/>
    <x v="53"/>
    <x v="51"/>
    <x v="44"/>
    <x v="51"/>
    <x v="0"/>
    <x v="5"/>
    <x v="0"/>
    <s v="Good Standing"/>
    <s v="Good Standing"/>
    <s v="Public Health"/>
  </r>
  <r>
    <s v="STD0036"/>
    <x v="0"/>
    <x v="54"/>
    <x v="20"/>
    <x v="45"/>
    <x v="28"/>
    <x v="0"/>
    <x v="0"/>
    <x v="0"/>
    <s v="Good Standing"/>
    <s v="Good Standing"/>
    <s v="Computer Science"/>
  </r>
  <r>
    <s v="STD0028"/>
    <x v="0"/>
    <x v="55"/>
    <x v="52"/>
    <x v="46"/>
    <x v="52"/>
    <x v="0"/>
    <x v="0"/>
    <x v="0"/>
    <s v="Good Standing"/>
    <s v="Good Standing"/>
    <s v="Computer Science"/>
  </r>
  <r>
    <s v="STD0147"/>
    <x v="0"/>
    <x v="56"/>
    <x v="53"/>
    <x v="47"/>
    <x v="53"/>
    <x v="0"/>
    <x v="0"/>
    <x v="0"/>
    <s v="Good Standing"/>
    <s v="Good Standing"/>
    <s v="Computer Science"/>
  </r>
  <r>
    <s v="STD0258"/>
    <x v="3"/>
    <x v="57"/>
    <x v="20"/>
    <x v="47"/>
    <x v="54"/>
    <x v="0"/>
    <x v="3"/>
    <x v="0"/>
    <s v="Good Standing"/>
    <s v="Good Standing"/>
    <s v="Data Science"/>
  </r>
  <r>
    <s v="STD0159"/>
    <x v="3"/>
    <x v="58"/>
    <x v="54"/>
    <x v="48"/>
    <x v="55"/>
    <x v="0"/>
    <x v="3"/>
    <x v="0"/>
    <s v="Good Standing"/>
    <s v="Good Standing"/>
    <s v="Data Science"/>
  </r>
  <r>
    <s v="STD0291"/>
    <x v="3"/>
    <x v="59"/>
    <x v="55"/>
    <x v="49"/>
    <x v="28"/>
    <x v="0"/>
    <x v="3"/>
    <x v="0"/>
    <s v="Good Standing"/>
    <s v="Good Standing"/>
    <s v="Data Science"/>
  </r>
  <r>
    <s v="STD0237"/>
    <x v="4"/>
    <x v="60"/>
    <x v="56"/>
    <x v="49"/>
    <x v="56"/>
    <x v="0"/>
    <x v="4"/>
    <x v="0"/>
    <s v="Good Standing"/>
    <s v="Good Standing"/>
    <s v="Business Administration"/>
  </r>
  <r>
    <s v="STD0133"/>
    <x v="4"/>
    <x v="61"/>
    <x v="57"/>
    <x v="50"/>
    <x v="57"/>
    <x v="2"/>
    <x v="4"/>
    <x v="2"/>
    <s v="Unknown"/>
    <s v="Unknown"/>
    <s v="Business Administration"/>
  </r>
  <r>
    <s v="STD0119"/>
    <x v="1"/>
    <x v="62"/>
    <x v="58"/>
    <x v="51"/>
    <x v="58"/>
    <x v="0"/>
    <x v="1"/>
    <x v="0"/>
    <s v="Good Standing"/>
    <s v="Good Standing"/>
    <s v="Unknown"/>
  </r>
  <r>
    <s v="STD0190"/>
    <x v="4"/>
    <x v="63"/>
    <x v="59"/>
    <x v="52"/>
    <x v="59"/>
    <x v="1"/>
    <x v="4"/>
    <x v="1"/>
    <s v="At Risk"/>
    <s v="At Risk"/>
    <s v="Business Administration"/>
  </r>
  <r>
    <s v="STD0065"/>
    <x v="6"/>
    <x v="64"/>
    <x v="60"/>
    <x v="53"/>
    <x v="60"/>
    <x v="0"/>
    <x v="6"/>
    <x v="0"/>
    <s v="Good Standing"/>
    <s v="Good Standing"/>
    <s v="Engineering"/>
  </r>
  <r>
    <s v="STD0270"/>
    <x v="1"/>
    <x v="16"/>
    <x v="61"/>
    <x v="54"/>
    <x v="61"/>
    <x v="0"/>
    <x v="1"/>
    <x v="0"/>
    <s v="Good Standing"/>
    <s v="Good Standing"/>
    <s v="Unknown"/>
  </r>
  <r>
    <s v="STD0208"/>
    <x v="0"/>
    <x v="43"/>
    <x v="62"/>
    <x v="55"/>
    <x v="62"/>
    <x v="0"/>
    <x v="0"/>
    <x v="0"/>
    <s v="Good Standing"/>
    <s v="Good Standing"/>
    <s v="Computer Science"/>
  </r>
  <r>
    <s v="unknow"/>
    <x v="2"/>
    <x v="65"/>
    <x v="63"/>
    <x v="56"/>
    <x v="63"/>
    <x v="0"/>
    <x v="2"/>
    <x v="0"/>
    <s v="Good Standing"/>
    <s v="Good Standing"/>
    <s v="Economics"/>
  </r>
  <r>
    <s v="STD0177"/>
    <x v="5"/>
    <x v="66"/>
    <x v="4"/>
    <x v="56"/>
    <x v="64"/>
    <x v="1"/>
    <x v="5"/>
    <x v="1"/>
    <s v="At Risk"/>
    <s v="At Risk"/>
    <s v="Public Health"/>
  </r>
  <r>
    <s v="STD0288"/>
    <x v="2"/>
    <x v="67"/>
    <x v="4"/>
    <x v="56"/>
    <x v="63"/>
    <x v="0"/>
    <x v="2"/>
    <x v="0"/>
    <s v="Good Standing"/>
    <s v="Good Standing"/>
    <s v="Economics"/>
  </r>
  <r>
    <s v="STD0276"/>
    <x v="0"/>
    <x v="9"/>
    <x v="64"/>
    <x v="57"/>
    <x v="65"/>
    <x v="1"/>
    <x v="0"/>
    <x v="1"/>
    <s v="At Risk"/>
    <s v="At Risk"/>
    <s v="Computer Science"/>
  </r>
  <r>
    <s v="STD0072"/>
    <x v="6"/>
    <x v="68"/>
    <x v="65"/>
    <x v="58"/>
    <x v="66"/>
    <x v="0"/>
    <x v="6"/>
    <x v="0"/>
    <s v="Good Standing"/>
    <s v="Good Standing"/>
    <s v="Engineering"/>
  </r>
  <r>
    <s v="STD0236"/>
    <x v="3"/>
    <x v="16"/>
    <x v="66"/>
    <x v="59"/>
    <x v="67"/>
    <x v="0"/>
    <x v="3"/>
    <x v="0"/>
    <s v="Good Standing"/>
    <s v="Good Standing"/>
    <s v="Data Science"/>
  </r>
  <r>
    <s v="unknow"/>
    <x v="4"/>
    <x v="16"/>
    <x v="1"/>
    <x v="59"/>
    <x v="68"/>
    <x v="1"/>
    <x v="4"/>
    <x v="1"/>
    <s v="At Risk"/>
    <s v="At Risk"/>
    <s v="Business Administration"/>
  </r>
  <r>
    <s v="STD0219"/>
    <x v="2"/>
    <x v="69"/>
    <x v="67"/>
    <x v="60"/>
    <x v="28"/>
    <x v="2"/>
    <x v="2"/>
    <x v="2"/>
    <s v="Unknown"/>
    <s v="Unknown"/>
    <s v="Economics"/>
  </r>
  <r>
    <s v="STD0271"/>
    <x v="4"/>
    <x v="70"/>
    <x v="44"/>
    <x v="61"/>
    <x v="69"/>
    <x v="0"/>
    <x v="4"/>
    <x v="0"/>
    <s v="Good Standing"/>
    <s v="Good Standing"/>
    <s v="Business Administration"/>
  </r>
  <r>
    <s v="STD0020"/>
    <x v="5"/>
    <x v="71"/>
    <x v="68"/>
    <x v="62"/>
    <x v="70"/>
    <x v="0"/>
    <x v="5"/>
    <x v="0"/>
    <s v="Good Standing"/>
    <s v="Good Standing"/>
    <s v="Public Health"/>
  </r>
  <r>
    <s v="STD0131"/>
    <x v="4"/>
    <x v="16"/>
    <x v="69"/>
    <x v="62"/>
    <x v="71"/>
    <x v="0"/>
    <x v="4"/>
    <x v="0"/>
    <s v="Good Standing"/>
    <s v="Good Standing"/>
    <s v="Business Administration"/>
  </r>
  <r>
    <s v="STD0039"/>
    <x v="3"/>
    <x v="69"/>
    <x v="68"/>
    <x v="63"/>
    <x v="72"/>
    <x v="0"/>
    <x v="3"/>
    <x v="0"/>
    <s v="Good Standing"/>
    <s v="Good Standing"/>
    <s v="Data Science"/>
  </r>
  <r>
    <s v="STD0255"/>
    <x v="3"/>
    <x v="72"/>
    <x v="70"/>
    <x v="63"/>
    <x v="73"/>
    <x v="1"/>
    <x v="3"/>
    <x v="1"/>
    <s v="At Risk"/>
    <s v="At Risk"/>
    <s v="Data Science"/>
  </r>
  <r>
    <s v="STD0003"/>
    <x v="5"/>
    <x v="41"/>
    <x v="42"/>
    <x v="63"/>
    <x v="74"/>
    <x v="0"/>
    <x v="5"/>
    <x v="0"/>
    <s v="Good Standing"/>
    <s v="Good Standing"/>
    <s v="Public Health"/>
  </r>
  <r>
    <s v="STD0091"/>
    <x v="6"/>
    <x v="73"/>
    <x v="71"/>
    <x v="64"/>
    <x v="75"/>
    <x v="2"/>
    <x v="6"/>
    <x v="2"/>
    <s v="Unknown"/>
    <s v="Unknown"/>
    <s v="Engineering"/>
  </r>
  <r>
    <s v="STD0180"/>
    <x v="3"/>
    <x v="74"/>
    <x v="72"/>
    <x v="64"/>
    <x v="76"/>
    <x v="0"/>
    <x v="3"/>
    <x v="0"/>
    <s v="Good Standing"/>
    <s v="Good Standing"/>
    <s v="Data Science"/>
  </r>
  <r>
    <s v="STD0253"/>
    <x v="2"/>
    <x v="75"/>
    <x v="73"/>
    <x v="65"/>
    <x v="77"/>
    <x v="0"/>
    <x v="2"/>
    <x v="0"/>
    <s v="Good Standing"/>
    <s v="Good Standing"/>
    <s v="Economics"/>
  </r>
  <r>
    <s v="STD0179"/>
    <x v="4"/>
    <x v="76"/>
    <x v="4"/>
    <x v="65"/>
    <x v="78"/>
    <x v="0"/>
    <x v="4"/>
    <x v="0"/>
    <s v="Good Standing"/>
    <s v="Good Standing"/>
    <s v="Business Administration"/>
  </r>
  <r>
    <s v="STD0286"/>
    <x v="6"/>
    <x v="12"/>
    <x v="74"/>
    <x v="66"/>
    <x v="45"/>
    <x v="0"/>
    <x v="6"/>
    <x v="0"/>
    <s v="Good Standing"/>
    <s v="Good Standing"/>
    <s v="Engineering"/>
  </r>
  <r>
    <s v="STD0268"/>
    <x v="3"/>
    <x v="77"/>
    <x v="75"/>
    <x v="66"/>
    <x v="79"/>
    <x v="1"/>
    <x v="3"/>
    <x v="1"/>
    <s v="At Risk"/>
    <s v="At Risk"/>
    <s v="Data Science"/>
  </r>
  <r>
    <s v="STD0023"/>
    <x v="3"/>
    <x v="30"/>
    <x v="76"/>
    <x v="67"/>
    <x v="80"/>
    <x v="0"/>
    <x v="3"/>
    <x v="0"/>
    <s v="Good Standing"/>
    <s v="Good Standing"/>
    <s v="Data Science"/>
  </r>
  <r>
    <s v="STD0109"/>
    <x v="6"/>
    <x v="78"/>
    <x v="77"/>
    <x v="68"/>
    <x v="81"/>
    <x v="0"/>
    <x v="6"/>
    <x v="0"/>
    <s v="Good Standing"/>
    <s v="Good Standing"/>
    <s v="Engineering"/>
  </r>
  <r>
    <s v="STD0049"/>
    <x v="3"/>
    <x v="79"/>
    <x v="78"/>
    <x v="69"/>
    <x v="28"/>
    <x v="0"/>
    <x v="3"/>
    <x v="0"/>
    <s v="Good Standing"/>
    <s v="Good Standing"/>
    <s v="Data Science"/>
  </r>
  <r>
    <s v="STD0073"/>
    <x v="4"/>
    <x v="80"/>
    <x v="79"/>
    <x v="69"/>
    <x v="82"/>
    <x v="0"/>
    <x v="4"/>
    <x v="0"/>
    <s v="Good Standing"/>
    <s v="Good Standing"/>
    <s v="Business Administration"/>
  </r>
  <r>
    <s v="STD0146"/>
    <x v="4"/>
    <x v="81"/>
    <x v="80"/>
    <x v="70"/>
    <x v="51"/>
    <x v="1"/>
    <x v="4"/>
    <x v="1"/>
    <s v="At Risk"/>
    <s v="At Risk"/>
    <s v="Business Administration"/>
  </r>
  <r>
    <s v="STD0157"/>
    <x v="4"/>
    <x v="82"/>
    <x v="4"/>
    <x v="71"/>
    <x v="83"/>
    <x v="0"/>
    <x v="4"/>
    <x v="0"/>
    <s v="Good Standing"/>
    <s v="Good Standing"/>
    <s v="Business Administration"/>
  </r>
  <r>
    <s v="STD0076"/>
    <x v="3"/>
    <x v="83"/>
    <x v="4"/>
    <x v="71"/>
    <x v="84"/>
    <x v="1"/>
    <x v="3"/>
    <x v="1"/>
    <s v="At Risk"/>
    <s v="At Risk"/>
    <s v="Data Science"/>
  </r>
  <r>
    <s v="STD0153"/>
    <x v="4"/>
    <x v="36"/>
    <x v="81"/>
    <x v="71"/>
    <x v="85"/>
    <x v="0"/>
    <x v="4"/>
    <x v="0"/>
    <s v="Good Standing"/>
    <s v="Good Standing"/>
    <s v="Business Administration"/>
  </r>
  <r>
    <s v="STD0145"/>
    <x v="5"/>
    <x v="84"/>
    <x v="36"/>
    <x v="71"/>
    <x v="86"/>
    <x v="0"/>
    <x v="5"/>
    <x v="0"/>
    <s v="Good Standing"/>
    <s v="Good Standing"/>
    <s v="Public Health"/>
  </r>
  <r>
    <s v="STD0008"/>
    <x v="6"/>
    <x v="16"/>
    <x v="82"/>
    <x v="72"/>
    <x v="87"/>
    <x v="0"/>
    <x v="6"/>
    <x v="0"/>
    <s v="Good Standing"/>
    <s v="Good Standing"/>
    <s v="Engineering"/>
  </r>
  <r>
    <s v="unknow"/>
    <x v="0"/>
    <x v="85"/>
    <x v="83"/>
    <x v="73"/>
    <x v="88"/>
    <x v="1"/>
    <x v="0"/>
    <x v="1"/>
    <s v="At Risk"/>
    <s v="At Risk"/>
    <s v="Computer Science"/>
  </r>
  <r>
    <s v="STD0041"/>
    <x v="6"/>
    <x v="9"/>
    <x v="84"/>
    <x v="74"/>
    <x v="68"/>
    <x v="1"/>
    <x v="6"/>
    <x v="1"/>
    <s v="At Risk"/>
    <s v="At Risk"/>
    <s v="Engineering"/>
  </r>
  <r>
    <s v="STD0002"/>
    <x v="4"/>
    <x v="86"/>
    <x v="85"/>
    <x v="74"/>
    <x v="89"/>
    <x v="2"/>
    <x v="4"/>
    <x v="2"/>
    <s v="Unknown"/>
    <s v="Unknown"/>
    <s v="Business Administration"/>
  </r>
  <r>
    <s v="STD0261"/>
    <x v="5"/>
    <x v="9"/>
    <x v="28"/>
    <x v="75"/>
    <x v="90"/>
    <x v="0"/>
    <x v="5"/>
    <x v="0"/>
    <s v="Good Standing"/>
    <s v="Good Standing"/>
    <s v="Public Health"/>
  </r>
  <r>
    <s v="STD0007"/>
    <x v="4"/>
    <x v="16"/>
    <x v="86"/>
    <x v="76"/>
    <x v="91"/>
    <x v="2"/>
    <x v="4"/>
    <x v="2"/>
    <s v="Unknown"/>
    <s v="Unknown"/>
    <s v="Business Administration"/>
  </r>
  <r>
    <s v="STD0283"/>
    <x v="0"/>
    <x v="87"/>
    <x v="86"/>
    <x v="76"/>
    <x v="92"/>
    <x v="0"/>
    <x v="0"/>
    <x v="0"/>
    <s v="Good Standing"/>
    <s v="Good Standing"/>
    <s v="Computer Science"/>
  </r>
  <r>
    <s v="STD0264"/>
    <x v="6"/>
    <x v="88"/>
    <x v="87"/>
    <x v="77"/>
    <x v="93"/>
    <x v="0"/>
    <x v="6"/>
    <x v="0"/>
    <s v="Good Standing"/>
    <s v="Good Standing"/>
    <s v="Engineering"/>
  </r>
  <r>
    <s v="STD0033"/>
    <x v="3"/>
    <x v="89"/>
    <x v="88"/>
    <x v="77"/>
    <x v="94"/>
    <x v="0"/>
    <x v="3"/>
    <x v="0"/>
    <s v="Good Standing"/>
    <s v="Good Standing"/>
    <s v="Data Science"/>
  </r>
  <r>
    <s v="STD0174"/>
    <x v="3"/>
    <x v="90"/>
    <x v="85"/>
    <x v="78"/>
    <x v="71"/>
    <x v="0"/>
    <x v="3"/>
    <x v="0"/>
    <s v="Good Standing"/>
    <s v="Good Standing"/>
    <s v="Data Science"/>
  </r>
  <r>
    <s v="STD0194"/>
    <x v="6"/>
    <x v="91"/>
    <x v="89"/>
    <x v="79"/>
    <x v="95"/>
    <x v="0"/>
    <x v="6"/>
    <x v="0"/>
    <s v="Good Standing"/>
    <s v="Good Standing"/>
    <s v="Engineering"/>
  </r>
  <r>
    <s v="STD0094"/>
    <x v="3"/>
    <x v="69"/>
    <x v="90"/>
    <x v="80"/>
    <x v="96"/>
    <x v="0"/>
    <x v="3"/>
    <x v="0"/>
    <s v="Good Standing"/>
    <s v="Good Standing"/>
    <s v="Data Science"/>
  </r>
  <r>
    <s v="STD0290"/>
    <x v="0"/>
    <x v="92"/>
    <x v="91"/>
    <x v="81"/>
    <x v="28"/>
    <x v="0"/>
    <x v="0"/>
    <x v="0"/>
    <s v="Good Standing"/>
    <s v="Good Standing"/>
    <s v="Computer Science"/>
  </r>
  <r>
    <s v="STD0232"/>
    <x v="6"/>
    <x v="65"/>
    <x v="92"/>
    <x v="82"/>
    <x v="97"/>
    <x v="0"/>
    <x v="6"/>
    <x v="0"/>
    <s v="Good Standing"/>
    <s v="Good Standing"/>
    <s v="Engineering"/>
  </r>
  <r>
    <s v="STD0265"/>
    <x v="0"/>
    <x v="93"/>
    <x v="93"/>
    <x v="82"/>
    <x v="11"/>
    <x v="0"/>
    <x v="0"/>
    <x v="0"/>
    <s v="Good Standing"/>
    <s v="Good Standing"/>
    <s v="Computer Science"/>
  </r>
  <r>
    <s v="STD0046"/>
    <x v="5"/>
    <x v="94"/>
    <x v="94"/>
    <x v="83"/>
    <x v="98"/>
    <x v="0"/>
    <x v="5"/>
    <x v="0"/>
    <s v="Good Standing"/>
    <s v="Good Standing"/>
    <s v="Public Health"/>
  </r>
  <r>
    <s v="STD0100"/>
    <x v="0"/>
    <x v="95"/>
    <x v="95"/>
    <x v="83"/>
    <x v="99"/>
    <x v="0"/>
    <x v="0"/>
    <x v="0"/>
    <s v="Good Standing"/>
    <s v="Good Standing"/>
    <s v="Computer Science"/>
  </r>
  <r>
    <s v="STD0016"/>
    <x v="4"/>
    <x v="96"/>
    <x v="96"/>
    <x v="84"/>
    <x v="28"/>
    <x v="0"/>
    <x v="4"/>
    <x v="0"/>
    <s v="Good Standing"/>
    <s v="Good Standing"/>
    <s v="Business Administration"/>
  </r>
  <r>
    <s v="STD0111"/>
    <x v="3"/>
    <x v="97"/>
    <x v="97"/>
    <x v="85"/>
    <x v="28"/>
    <x v="0"/>
    <x v="3"/>
    <x v="0"/>
    <s v="Good Standing"/>
    <s v="Good Standing"/>
    <s v="Data Science"/>
  </r>
  <r>
    <s v="STD0027"/>
    <x v="3"/>
    <x v="9"/>
    <x v="98"/>
    <x v="86"/>
    <x v="100"/>
    <x v="0"/>
    <x v="3"/>
    <x v="0"/>
    <s v="Good Standing"/>
    <s v="Good Standing"/>
    <s v="Data Science"/>
  </r>
  <r>
    <s v="STD0163"/>
    <x v="4"/>
    <x v="98"/>
    <x v="69"/>
    <x v="87"/>
    <x v="101"/>
    <x v="0"/>
    <x v="4"/>
    <x v="0"/>
    <s v="Good Standing"/>
    <s v="Good Standing"/>
    <s v="Business Administration"/>
  </r>
  <r>
    <s v="STD0043"/>
    <x v="5"/>
    <x v="16"/>
    <x v="4"/>
    <x v="88"/>
    <x v="102"/>
    <x v="1"/>
    <x v="5"/>
    <x v="1"/>
    <s v="At Risk"/>
    <s v="At Risk"/>
    <s v="Public Health"/>
  </r>
  <r>
    <s v="STD0242"/>
    <x v="5"/>
    <x v="99"/>
    <x v="88"/>
    <x v="89"/>
    <x v="103"/>
    <x v="0"/>
    <x v="5"/>
    <x v="0"/>
    <s v="Good Standing"/>
    <s v="Good Standing"/>
    <s v="Public Health"/>
  </r>
  <r>
    <s v="STD0167"/>
    <x v="3"/>
    <x v="100"/>
    <x v="99"/>
    <x v="89"/>
    <x v="104"/>
    <x v="1"/>
    <x v="3"/>
    <x v="1"/>
    <s v="At Risk"/>
    <s v="At Risk"/>
    <s v="Data Science"/>
  </r>
  <r>
    <s v="STD0216"/>
    <x v="0"/>
    <x v="101"/>
    <x v="100"/>
    <x v="90"/>
    <x v="105"/>
    <x v="0"/>
    <x v="0"/>
    <x v="0"/>
    <s v="Good Standing"/>
    <s v="Good Standing"/>
    <s v="Computer Science"/>
  </r>
  <r>
    <s v="STD0230"/>
    <x v="4"/>
    <x v="102"/>
    <x v="81"/>
    <x v="91"/>
    <x v="106"/>
    <x v="0"/>
    <x v="4"/>
    <x v="0"/>
    <s v="Good Standing"/>
    <s v="Good Standing"/>
    <s v="Business Administration"/>
  </r>
  <r>
    <s v="STD0030"/>
    <x v="0"/>
    <x v="75"/>
    <x v="101"/>
    <x v="92"/>
    <x v="92"/>
    <x v="0"/>
    <x v="0"/>
    <x v="0"/>
    <s v="Good Standing"/>
    <s v="Good Standing"/>
    <s v="Computer Science"/>
  </r>
  <r>
    <s v="STD0189"/>
    <x v="2"/>
    <x v="103"/>
    <x v="102"/>
    <x v="92"/>
    <x v="107"/>
    <x v="1"/>
    <x v="2"/>
    <x v="1"/>
    <s v="At Risk"/>
    <s v="At Risk"/>
    <s v="Economics"/>
  </r>
  <r>
    <s v="STD0287"/>
    <x v="4"/>
    <x v="104"/>
    <x v="36"/>
    <x v="93"/>
    <x v="108"/>
    <x v="0"/>
    <x v="4"/>
    <x v="0"/>
    <s v="Good Standing"/>
    <s v="Good Standing"/>
    <s v="Business Administration"/>
  </r>
  <r>
    <s v="unknow"/>
    <x v="6"/>
    <x v="105"/>
    <x v="103"/>
    <x v="93"/>
    <x v="109"/>
    <x v="0"/>
    <x v="6"/>
    <x v="0"/>
    <s v="Good Standing"/>
    <s v="Good Standing"/>
    <s v="Engineering"/>
  </r>
  <r>
    <s v="STD0238"/>
    <x v="5"/>
    <x v="65"/>
    <x v="104"/>
    <x v="93"/>
    <x v="110"/>
    <x v="1"/>
    <x v="5"/>
    <x v="1"/>
    <s v="At Risk"/>
    <s v="At Risk"/>
    <s v="Public Health"/>
  </r>
  <r>
    <s v="STD0122"/>
    <x v="2"/>
    <x v="64"/>
    <x v="105"/>
    <x v="94"/>
    <x v="111"/>
    <x v="0"/>
    <x v="2"/>
    <x v="0"/>
    <s v="Good Standing"/>
    <s v="Good Standing"/>
    <s v="Economics"/>
  </r>
  <r>
    <s v="STD0055"/>
    <x v="6"/>
    <x v="39"/>
    <x v="91"/>
    <x v="95"/>
    <x v="112"/>
    <x v="0"/>
    <x v="6"/>
    <x v="0"/>
    <s v="Good Standing"/>
    <s v="Good Standing"/>
    <s v="Engineering"/>
  </r>
  <r>
    <s v="STD0011"/>
    <x v="0"/>
    <x v="59"/>
    <x v="106"/>
    <x v="96"/>
    <x v="113"/>
    <x v="0"/>
    <x v="0"/>
    <x v="0"/>
    <s v="Good Standing"/>
    <s v="Good Standing"/>
    <s v="Computer Science"/>
  </r>
  <r>
    <s v="STD0175"/>
    <x v="4"/>
    <x v="106"/>
    <x v="80"/>
    <x v="97"/>
    <x v="28"/>
    <x v="0"/>
    <x v="4"/>
    <x v="0"/>
    <s v="Good Standing"/>
    <s v="Good Standing"/>
    <s v="Business Administration"/>
  </r>
  <r>
    <s v="STD0207"/>
    <x v="3"/>
    <x v="107"/>
    <x v="107"/>
    <x v="98"/>
    <x v="114"/>
    <x v="0"/>
    <x v="3"/>
    <x v="0"/>
    <s v="Good Standing"/>
    <s v="Good Standing"/>
    <s v="Data Science"/>
  </r>
  <r>
    <s v="STD0067"/>
    <x v="3"/>
    <x v="2"/>
    <x v="4"/>
    <x v="99"/>
    <x v="37"/>
    <x v="1"/>
    <x v="3"/>
    <x v="1"/>
    <s v="At Risk"/>
    <s v="At Risk"/>
    <s v="Data Science"/>
  </r>
  <r>
    <s v="STD0034"/>
    <x v="3"/>
    <x v="108"/>
    <x v="108"/>
    <x v="100"/>
    <x v="115"/>
    <x v="0"/>
    <x v="3"/>
    <x v="0"/>
    <s v="Good Standing"/>
    <s v="Good Standing"/>
    <s v="Data Science"/>
  </r>
  <r>
    <s v="STD0198"/>
    <x v="0"/>
    <x v="109"/>
    <x v="109"/>
    <x v="101"/>
    <x v="116"/>
    <x v="0"/>
    <x v="0"/>
    <x v="0"/>
    <s v="Good Standing"/>
    <s v="Good Standing"/>
    <s v="Computer Science"/>
  </r>
  <r>
    <s v="STD0090"/>
    <x v="5"/>
    <x v="110"/>
    <x v="110"/>
    <x v="102"/>
    <x v="107"/>
    <x v="0"/>
    <x v="5"/>
    <x v="0"/>
    <s v="Good Standing"/>
    <s v="Good Standing"/>
    <s v="Public Health"/>
  </r>
  <r>
    <s v="STD0228"/>
    <x v="5"/>
    <x v="9"/>
    <x v="95"/>
    <x v="102"/>
    <x v="14"/>
    <x v="0"/>
    <x v="5"/>
    <x v="0"/>
    <s v="Good Standing"/>
    <s v="Good Standing"/>
    <s v="Public Health"/>
  </r>
  <r>
    <s v="STD0077"/>
    <x v="4"/>
    <x v="9"/>
    <x v="111"/>
    <x v="103"/>
    <x v="117"/>
    <x v="1"/>
    <x v="4"/>
    <x v="1"/>
    <s v="At Risk"/>
    <s v="At Risk"/>
    <s v="Business Administration"/>
  </r>
  <r>
    <s v="STD0092"/>
    <x v="1"/>
    <x v="111"/>
    <x v="112"/>
    <x v="104"/>
    <x v="118"/>
    <x v="0"/>
    <x v="1"/>
    <x v="0"/>
    <s v="Good Standing"/>
    <s v="Good Standing"/>
    <s v="Unknown"/>
  </r>
  <r>
    <s v="STD0217"/>
    <x v="6"/>
    <x v="112"/>
    <x v="4"/>
    <x v="105"/>
    <x v="119"/>
    <x v="1"/>
    <x v="6"/>
    <x v="1"/>
    <s v="At Risk"/>
    <s v="At Risk"/>
    <s v="Engineering"/>
  </r>
  <r>
    <s v="STD0009"/>
    <x v="2"/>
    <x v="9"/>
    <x v="113"/>
    <x v="106"/>
    <x v="120"/>
    <x v="1"/>
    <x v="2"/>
    <x v="1"/>
    <s v="At Risk"/>
    <s v="At Risk"/>
    <s v="Economics"/>
  </r>
  <r>
    <s v="STD0243"/>
    <x v="5"/>
    <x v="113"/>
    <x v="114"/>
    <x v="106"/>
    <x v="28"/>
    <x v="2"/>
    <x v="5"/>
    <x v="2"/>
    <s v="Unknown"/>
    <s v="Unknown"/>
    <s v="Public Health"/>
  </r>
  <r>
    <s v="STD0086"/>
    <x v="4"/>
    <x v="114"/>
    <x v="115"/>
    <x v="107"/>
    <x v="121"/>
    <x v="0"/>
    <x v="4"/>
    <x v="0"/>
    <s v="Good Standing"/>
    <s v="Good Standing"/>
    <s v="Business Administration"/>
  </r>
  <r>
    <s v="STD0115"/>
    <x v="3"/>
    <x v="112"/>
    <x v="116"/>
    <x v="108"/>
    <x v="122"/>
    <x v="0"/>
    <x v="3"/>
    <x v="0"/>
    <s v="Good Standing"/>
    <s v="Good Standing"/>
    <s v="Data Science"/>
  </r>
  <r>
    <s v="STD0120"/>
    <x v="5"/>
    <x v="115"/>
    <x v="4"/>
    <x v="109"/>
    <x v="123"/>
    <x v="1"/>
    <x v="5"/>
    <x v="1"/>
    <s v="At Risk"/>
    <s v="At Risk"/>
    <s v="Public Health"/>
  </r>
  <r>
    <s v="STD0191"/>
    <x v="1"/>
    <x v="9"/>
    <x v="117"/>
    <x v="110"/>
    <x v="116"/>
    <x v="0"/>
    <x v="1"/>
    <x v="0"/>
    <s v="Good Standing"/>
    <s v="Good Standing"/>
    <s v="Unknown"/>
  </r>
  <r>
    <s v="STD0169"/>
    <x v="6"/>
    <x v="116"/>
    <x v="118"/>
    <x v="111"/>
    <x v="50"/>
    <x v="0"/>
    <x v="6"/>
    <x v="0"/>
    <s v="Good Standing"/>
    <s v="Good Standing"/>
    <s v="Engineering"/>
  </r>
  <r>
    <s v="STD0282"/>
    <x v="0"/>
    <x v="88"/>
    <x v="119"/>
    <x v="112"/>
    <x v="46"/>
    <x v="0"/>
    <x v="0"/>
    <x v="0"/>
    <s v="Good Standing"/>
    <s v="Good Standing"/>
    <s v="Computer Science"/>
  </r>
  <r>
    <s v="STD0244"/>
    <x v="4"/>
    <x v="117"/>
    <x v="120"/>
    <x v="113"/>
    <x v="124"/>
    <x v="0"/>
    <x v="4"/>
    <x v="0"/>
    <s v="Good Standing"/>
    <s v="Good Standing"/>
    <s v="Business Administration"/>
  </r>
  <r>
    <s v="STD0006"/>
    <x v="3"/>
    <x v="44"/>
    <x v="121"/>
    <x v="114"/>
    <x v="125"/>
    <x v="0"/>
    <x v="3"/>
    <x v="0"/>
    <s v="Good Standing"/>
    <s v="Good Standing"/>
    <s v="Data Science"/>
  </r>
  <r>
    <s v="STD0110"/>
    <x v="5"/>
    <x v="118"/>
    <x v="122"/>
    <x v="115"/>
    <x v="126"/>
    <x v="0"/>
    <x v="5"/>
    <x v="0"/>
    <s v="Good Standing"/>
    <s v="Good Standing"/>
    <s v="Public Health"/>
  </r>
  <r>
    <s v="STD0215"/>
    <x v="4"/>
    <x v="119"/>
    <x v="123"/>
    <x v="116"/>
    <x v="127"/>
    <x v="0"/>
    <x v="4"/>
    <x v="0"/>
    <s v="Good Standing"/>
    <s v="Good Standing"/>
    <s v="Business Administration"/>
  </r>
  <r>
    <s v="unknow"/>
    <x v="0"/>
    <x v="120"/>
    <x v="53"/>
    <x v="116"/>
    <x v="128"/>
    <x v="0"/>
    <x v="0"/>
    <x v="0"/>
    <s v="Good Standing"/>
    <s v="Good Standing"/>
    <s v="Computer Science"/>
  </r>
  <r>
    <s v="STD0136"/>
    <x v="3"/>
    <x v="121"/>
    <x v="69"/>
    <x v="116"/>
    <x v="35"/>
    <x v="0"/>
    <x v="3"/>
    <x v="0"/>
    <s v="Good Standing"/>
    <s v="Good Standing"/>
    <s v="Data Science"/>
  </r>
  <r>
    <s v="STD0062"/>
    <x v="3"/>
    <x v="83"/>
    <x v="118"/>
    <x v="116"/>
    <x v="129"/>
    <x v="0"/>
    <x v="3"/>
    <x v="0"/>
    <s v="Good Standing"/>
    <s v="Good Standing"/>
    <s v="Data Science"/>
  </r>
  <r>
    <s v="STD0224"/>
    <x v="0"/>
    <x v="122"/>
    <x v="124"/>
    <x v="117"/>
    <x v="130"/>
    <x v="1"/>
    <x v="0"/>
    <x v="1"/>
    <s v="At Risk"/>
    <s v="At Risk"/>
    <s v="Computer Science"/>
  </r>
  <r>
    <s v="STD0058"/>
    <x v="5"/>
    <x v="16"/>
    <x v="125"/>
    <x v="117"/>
    <x v="124"/>
    <x v="0"/>
    <x v="5"/>
    <x v="0"/>
    <s v="Good Standing"/>
    <s v="Good Standing"/>
    <s v="Public Health"/>
  </r>
  <r>
    <s v="STD0005"/>
    <x v="6"/>
    <x v="123"/>
    <x v="126"/>
    <x v="118"/>
    <x v="131"/>
    <x v="0"/>
    <x v="6"/>
    <x v="0"/>
    <s v="Good Standing"/>
    <s v="Good Standing"/>
    <s v="Engineering"/>
  </r>
  <r>
    <s v="STD0197"/>
    <x v="2"/>
    <x v="124"/>
    <x v="127"/>
    <x v="119"/>
    <x v="37"/>
    <x v="0"/>
    <x v="2"/>
    <x v="0"/>
    <s v="Good Standing"/>
    <s v="Good Standing"/>
    <s v="Economics"/>
  </r>
  <r>
    <s v="STD0205"/>
    <x v="0"/>
    <x v="125"/>
    <x v="128"/>
    <x v="119"/>
    <x v="132"/>
    <x v="1"/>
    <x v="0"/>
    <x v="1"/>
    <s v="At Risk"/>
    <s v="At Risk"/>
    <s v="Computer Science"/>
  </r>
  <r>
    <s v="STD0001"/>
    <x v="6"/>
    <x v="126"/>
    <x v="129"/>
    <x v="120"/>
    <x v="55"/>
    <x v="2"/>
    <x v="6"/>
    <x v="2"/>
    <s v="Unknown"/>
    <s v="Unknown"/>
    <s v="Engineering"/>
  </r>
  <r>
    <s v="STD0013"/>
    <x v="3"/>
    <x v="127"/>
    <x v="130"/>
    <x v="121"/>
    <x v="133"/>
    <x v="0"/>
    <x v="3"/>
    <x v="0"/>
    <s v="Good Standing"/>
    <s v="Good Standing"/>
    <s v="Data Science"/>
  </r>
  <r>
    <s v="STD0052"/>
    <x v="2"/>
    <x v="103"/>
    <x v="131"/>
    <x v="122"/>
    <x v="124"/>
    <x v="0"/>
    <x v="2"/>
    <x v="0"/>
    <s v="Good Standing"/>
    <s v="Good Standing"/>
    <s v="Economics"/>
  </r>
  <r>
    <s v="STD0084"/>
    <x v="4"/>
    <x v="128"/>
    <x v="132"/>
    <x v="123"/>
    <x v="134"/>
    <x v="0"/>
    <x v="4"/>
    <x v="0"/>
    <s v="Good Standing"/>
    <s v="Good Standing"/>
    <s v="Business Administration"/>
  </r>
  <r>
    <s v="STD0044"/>
    <x v="2"/>
    <x v="105"/>
    <x v="133"/>
    <x v="124"/>
    <x v="119"/>
    <x v="0"/>
    <x v="2"/>
    <x v="0"/>
    <s v="Good Standing"/>
    <s v="Good Standing"/>
    <s v="Economics"/>
  </r>
  <r>
    <s v="STD0123"/>
    <x v="4"/>
    <x v="129"/>
    <x v="17"/>
    <x v="125"/>
    <x v="135"/>
    <x v="0"/>
    <x v="4"/>
    <x v="0"/>
    <s v="Good Standing"/>
    <s v="Good Standing"/>
    <s v="Business Administration"/>
  </r>
  <r>
    <s v="STD0166"/>
    <x v="1"/>
    <x v="96"/>
    <x v="134"/>
    <x v="126"/>
    <x v="136"/>
    <x v="0"/>
    <x v="1"/>
    <x v="0"/>
    <s v="Good Standing"/>
    <s v="Good Standing"/>
    <s v="Unknown"/>
  </r>
  <r>
    <s v="STD0184"/>
    <x v="5"/>
    <x v="130"/>
    <x v="135"/>
    <x v="127"/>
    <x v="137"/>
    <x v="2"/>
    <x v="5"/>
    <x v="2"/>
    <s v="Unknown"/>
    <s v="Unknown"/>
    <s v="Public Health"/>
  </r>
  <r>
    <s v="STD0022"/>
    <x v="5"/>
    <x v="131"/>
    <x v="136"/>
    <x v="128"/>
    <x v="62"/>
    <x v="0"/>
    <x v="5"/>
    <x v="0"/>
    <s v="Good Standing"/>
    <s v="Good Standing"/>
    <s v="Public Health"/>
  </r>
  <r>
    <s v="STD0273"/>
    <x v="5"/>
    <x v="132"/>
    <x v="137"/>
    <x v="128"/>
    <x v="57"/>
    <x v="1"/>
    <x v="5"/>
    <x v="1"/>
    <s v="At Risk"/>
    <s v="At Risk"/>
    <s v="Public Health"/>
  </r>
  <r>
    <s v="STD0045"/>
    <x v="0"/>
    <x v="133"/>
    <x v="92"/>
    <x v="129"/>
    <x v="103"/>
    <x v="2"/>
    <x v="0"/>
    <x v="2"/>
    <s v="Unknown"/>
    <s v="Unknown"/>
    <s v="Computer Science"/>
  </r>
  <r>
    <s v="STD0220"/>
    <x v="4"/>
    <x v="134"/>
    <x v="138"/>
    <x v="130"/>
    <x v="138"/>
    <x v="1"/>
    <x v="4"/>
    <x v="1"/>
    <s v="At Risk"/>
    <s v="At Risk"/>
    <s v="Business Administration"/>
  </r>
  <r>
    <s v="STD0014"/>
    <x v="3"/>
    <x v="135"/>
    <x v="25"/>
    <x v="131"/>
    <x v="139"/>
    <x v="0"/>
    <x v="3"/>
    <x v="0"/>
    <s v="Good Standing"/>
    <s v="Good Standing"/>
    <s v="Data Science"/>
  </r>
  <r>
    <s v="STD0154"/>
    <x v="0"/>
    <x v="10"/>
    <x v="139"/>
    <x v="132"/>
    <x v="140"/>
    <x v="0"/>
    <x v="0"/>
    <x v="0"/>
    <s v="Good Standing"/>
    <s v="Good Standing"/>
    <s v="Computer Science"/>
  </r>
  <r>
    <s v="STD0012"/>
    <x v="1"/>
    <x v="16"/>
    <x v="140"/>
    <x v="133"/>
    <x v="141"/>
    <x v="0"/>
    <x v="1"/>
    <x v="0"/>
    <s v="Good Standing"/>
    <s v="Good Standing"/>
    <s v="Unknown"/>
  </r>
  <r>
    <s v="STD0127"/>
    <x v="3"/>
    <x v="136"/>
    <x v="141"/>
    <x v="134"/>
    <x v="142"/>
    <x v="0"/>
    <x v="3"/>
    <x v="0"/>
    <s v="Good Standing"/>
    <s v="Good Standing"/>
    <s v="Data Science"/>
  </r>
  <r>
    <s v="STD0240"/>
    <x v="4"/>
    <x v="137"/>
    <x v="142"/>
    <x v="135"/>
    <x v="143"/>
    <x v="0"/>
    <x v="4"/>
    <x v="0"/>
    <s v="Good Standing"/>
    <s v="Good Standing"/>
    <s v="Business Administration"/>
  </r>
  <r>
    <s v="STD0221"/>
    <x v="6"/>
    <x v="138"/>
    <x v="143"/>
    <x v="136"/>
    <x v="144"/>
    <x v="0"/>
    <x v="6"/>
    <x v="0"/>
    <s v="Good Standing"/>
    <s v="Good Standing"/>
    <s v="Engineering"/>
  </r>
  <r>
    <s v="STD0029"/>
    <x v="3"/>
    <x v="139"/>
    <x v="85"/>
    <x v="137"/>
    <x v="145"/>
    <x v="1"/>
    <x v="3"/>
    <x v="1"/>
    <s v="At Risk"/>
    <s v="At Risk"/>
    <s v="Data Science"/>
  </r>
  <r>
    <s v="STD0233"/>
    <x v="4"/>
    <x v="93"/>
    <x v="144"/>
    <x v="138"/>
    <x v="146"/>
    <x v="0"/>
    <x v="4"/>
    <x v="0"/>
    <s v="Good Standing"/>
    <s v="Good Standing"/>
    <s v="Business Administration"/>
  </r>
  <r>
    <s v="STD0176"/>
    <x v="1"/>
    <x v="140"/>
    <x v="86"/>
    <x v="139"/>
    <x v="147"/>
    <x v="0"/>
    <x v="1"/>
    <x v="0"/>
    <s v="Good Standing"/>
    <s v="Good Standing"/>
    <s v="Unknown"/>
  </r>
  <r>
    <s v="STD0178"/>
    <x v="0"/>
    <x v="141"/>
    <x v="4"/>
    <x v="140"/>
    <x v="148"/>
    <x v="2"/>
    <x v="0"/>
    <x v="2"/>
    <s v="Unknown"/>
    <s v="Unknown"/>
    <s v="Computer Science"/>
  </r>
  <r>
    <s v="STD0063"/>
    <x v="5"/>
    <x v="142"/>
    <x v="11"/>
    <x v="141"/>
    <x v="149"/>
    <x v="0"/>
    <x v="5"/>
    <x v="0"/>
    <s v="Good Standing"/>
    <s v="Good Standing"/>
    <s v="Public Health"/>
  </r>
  <r>
    <s v="STD0117"/>
    <x v="5"/>
    <x v="87"/>
    <x v="145"/>
    <x v="142"/>
    <x v="150"/>
    <x v="0"/>
    <x v="5"/>
    <x v="0"/>
    <s v="Good Standing"/>
    <s v="Good Standing"/>
    <s v="Public Health"/>
  </r>
  <r>
    <s v="STD0275"/>
    <x v="6"/>
    <x v="5"/>
    <x v="146"/>
    <x v="143"/>
    <x v="151"/>
    <x v="0"/>
    <x v="6"/>
    <x v="0"/>
    <s v="Good Standing"/>
    <s v="Good Standing"/>
    <s v="Engineering"/>
  </r>
  <r>
    <s v="STD0068"/>
    <x v="6"/>
    <x v="9"/>
    <x v="147"/>
    <x v="143"/>
    <x v="152"/>
    <x v="0"/>
    <x v="6"/>
    <x v="0"/>
    <s v="Good Standing"/>
    <s v="Good Standing"/>
    <s v="Engineering"/>
  </r>
  <r>
    <s v="STD0134"/>
    <x v="6"/>
    <x v="143"/>
    <x v="88"/>
    <x v="144"/>
    <x v="153"/>
    <x v="0"/>
    <x v="6"/>
    <x v="0"/>
    <s v="Good Standing"/>
    <s v="Good Standing"/>
    <s v="Engineering"/>
  </r>
  <r>
    <s v="STD0281"/>
    <x v="3"/>
    <x v="144"/>
    <x v="148"/>
    <x v="145"/>
    <x v="154"/>
    <x v="0"/>
    <x v="3"/>
    <x v="0"/>
    <s v="Good Standing"/>
    <s v="Good Standing"/>
    <s v="Data Science"/>
  </r>
  <r>
    <s v="STD0017"/>
    <x v="1"/>
    <x v="106"/>
    <x v="85"/>
    <x v="145"/>
    <x v="88"/>
    <x v="0"/>
    <x v="1"/>
    <x v="0"/>
    <s v="Good Standing"/>
    <s v="Good Standing"/>
    <s v="Unknown"/>
  </r>
  <r>
    <s v="STD0106"/>
    <x v="5"/>
    <x v="145"/>
    <x v="149"/>
    <x v="146"/>
    <x v="155"/>
    <x v="0"/>
    <x v="5"/>
    <x v="0"/>
    <s v="Good Standing"/>
    <s v="Good Standing"/>
    <s v="Public Health"/>
  </r>
  <r>
    <s v="STD0066"/>
    <x v="5"/>
    <x v="83"/>
    <x v="150"/>
    <x v="147"/>
    <x v="156"/>
    <x v="0"/>
    <x v="5"/>
    <x v="0"/>
    <s v="Good Standing"/>
    <s v="Good Standing"/>
    <s v="Public Health"/>
  </r>
  <r>
    <s v="STD0089"/>
    <x v="0"/>
    <x v="146"/>
    <x v="4"/>
    <x v="147"/>
    <x v="157"/>
    <x v="0"/>
    <x v="0"/>
    <x v="0"/>
    <s v="Good Standing"/>
    <s v="Good Standing"/>
    <s v="Computer Science"/>
  </r>
  <r>
    <s v="STD0195"/>
    <x v="5"/>
    <x v="126"/>
    <x v="73"/>
    <x v="148"/>
    <x v="157"/>
    <x v="2"/>
    <x v="5"/>
    <x v="2"/>
    <s v="Unknown"/>
    <s v="Unknown"/>
    <s v="Public Health"/>
  </r>
  <r>
    <s v="STD0040"/>
    <x v="1"/>
    <x v="16"/>
    <x v="151"/>
    <x v="149"/>
    <x v="158"/>
    <x v="0"/>
    <x v="1"/>
    <x v="0"/>
    <s v="Good Standing"/>
    <s v="Good Standing"/>
    <s v="Unknown"/>
  </r>
  <r>
    <s v="STD0121"/>
    <x v="6"/>
    <x v="147"/>
    <x v="152"/>
    <x v="150"/>
    <x v="159"/>
    <x v="1"/>
    <x v="6"/>
    <x v="1"/>
    <s v="At Risk"/>
    <s v="At Risk"/>
    <s v="Engineering"/>
  </r>
  <r>
    <s v="STD0088"/>
    <x v="2"/>
    <x v="148"/>
    <x v="135"/>
    <x v="151"/>
    <x v="66"/>
    <x v="0"/>
    <x v="2"/>
    <x v="0"/>
    <s v="Good Standing"/>
    <s v="Good Standing"/>
    <s v="Economics"/>
  </r>
  <r>
    <s v="STD0254"/>
    <x v="6"/>
    <x v="149"/>
    <x v="153"/>
    <x v="151"/>
    <x v="160"/>
    <x v="0"/>
    <x v="6"/>
    <x v="0"/>
    <s v="Good Standing"/>
    <s v="Good Standing"/>
    <s v="Engineering"/>
  </r>
  <r>
    <s v="STD0032"/>
    <x v="4"/>
    <x v="150"/>
    <x v="154"/>
    <x v="152"/>
    <x v="161"/>
    <x v="0"/>
    <x v="4"/>
    <x v="0"/>
    <s v="Good Standing"/>
    <s v="Good Standing"/>
    <s v="Business Administration"/>
  </r>
  <r>
    <s v="STD0223"/>
    <x v="4"/>
    <x v="151"/>
    <x v="4"/>
    <x v="152"/>
    <x v="110"/>
    <x v="0"/>
    <x v="4"/>
    <x v="0"/>
    <s v="Good Standing"/>
    <s v="Good Standing"/>
    <s v="Business Administration"/>
  </r>
  <r>
    <s v="STD0124"/>
    <x v="5"/>
    <x v="152"/>
    <x v="155"/>
    <x v="153"/>
    <x v="119"/>
    <x v="1"/>
    <x v="5"/>
    <x v="1"/>
    <s v="At Risk"/>
    <s v="At Risk"/>
    <s v="Public Health"/>
  </r>
  <r>
    <s v="STD0185"/>
    <x v="1"/>
    <x v="123"/>
    <x v="156"/>
    <x v="154"/>
    <x v="162"/>
    <x v="0"/>
    <x v="1"/>
    <x v="0"/>
    <s v="Good Standing"/>
    <s v="Good Standing"/>
    <s v="Unknown"/>
  </r>
  <r>
    <s v="STD0024"/>
    <x v="6"/>
    <x v="27"/>
    <x v="157"/>
    <x v="155"/>
    <x v="163"/>
    <x v="1"/>
    <x v="6"/>
    <x v="1"/>
    <s v="At Risk"/>
    <s v="At Risk"/>
    <s v="Engineering"/>
  </r>
  <r>
    <s v="STD0213"/>
    <x v="0"/>
    <x v="9"/>
    <x v="158"/>
    <x v="156"/>
    <x v="112"/>
    <x v="0"/>
    <x v="0"/>
    <x v="0"/>
    <s v="Good Standing"/>
    <s v="Good Standing"/>
    <s v="Computer Science"/>
  </r>
  <r>
    <s v="STD0213"/>
    <x v="1"/>
    <x v="153"/>
    <x v="158"/>
    <x v="156"/>
    <x v="112"/>
    <x v="0"/>
    <x v="1"/>
    <x v="0"/>
    <s v="Good Standing"/>
    <s v="Good Standing"/>
    <s v="Unknown"/>
  </r>
  <r>
    <s v="STD0080"/>
    <x v="0"/>
    <x v="154"/>
    <x v="159"/>
    <x v="157"/>
    <x v="164"/>
    <x v="1"/>
    <x v="0"/>
    <x v="1"/>
    <s v="At Risk"/>
    <s v="At Risk"/>
    <s v="Computer Science"/>
  </r>
  <r>
    <s v="STD0149"/>
    <x v="3"/>
    <x v="59"/>
    <x v="160"/>
    <x v="157"/>
    <x v="165"/>
    <x v="2"/>
    <x v="3"/>
    <x v="2"/>
    <s v="Unknown"/>
    <s v="Unknown"/>
    <s v="Data Science"/>
  </r>
  <r>
    <s v="STD0082"/>
    <x v="2"/>
    <x v="9"/>
    <x v="72"/>
    <x v="158"/>
    <x v="166"/>
    <x v="0"/>
    <x v="2"/>
    <x v="0"/>
    <s v="Good Standing"/>
    <s v="Good Standing"/>
    <s v="Economics"/>
  </r>
  <r>
    <s v="STD0102"/>
    <x v="4"/>
    <x v="155"/>
    <x v="161"/>
    <x v="159"/>
    <x v="167"/>
    <x v="0"/>
    <x v="4"/>
    <x v="0"/>
    <s v="Good Standing"/>
    <s v="Good Standing"/>
    <s v="Business Administration"/>
  </r>
  <r>
    <s v="unknow"/>
    <x v="2"/>
    <x v="133"/>
    <x v="162"/>
    <x v="160"/>
    <x v="168"/>
    <x v="0"/>
    <x v="2"/>
    <x v="0"/>
    <s v="Good Standing"/>
    <s v="Good Standing"/>
    <s v="Economics"/>
  </r>
  <r>
    <s v="STD0025"/>
    <x v="3"/>
    <x v="156"/>
    <x v="163"/>
    <x v="160"/>
    <x v="1"/>
    <x v="0"/>
    <x v="3"/>
    <x v="0"/>
    <s v="Good Standing"/>
    <s v="Good Standing"/>
    <s v="Data Science"/>
  </r>
  <r>
    <s v="STD0225"/>
    <x v="0"/>
    <x v="70"/>
    <x v="164"/>
    <x v="160"/>
    <x v="169"/>
    <x v="1"/>
    <x v="0"/>
    <x v="1"/>
    <s v="At Risk"/>
    <s v="At Risk"/>
    <s v="Computer Science"/>
  </r>
  <r>
    <s v="STD0292"/>
    <x v="0"/>
    <x v="16"/>
    <x v="4"/>
    <x v="161"/>
    <x v="170"/>
    <x v="0"/>
    <x v="0"/>
    <x v="0"/>
    <s v="Good Standing"/>
    <s v="Good Standing"/>
    <s v="Computer Science"/>
  </r>
  <r>
    <s v="STD0151"/>
    <x v="0"/>
    <x v="41"/>
    <x v="88"/>
    <x v="162"/>
    <x v="171"/>
    <x v="2"/>
    <x v="0"/>
    <x v="2"/>
    <s v="Unknown"/>
    <s v="Unknown"/>
    <s v="Computer Science"/>
  </r>
  <r>
    <s v="STD0260"/>
    <x v="3"/>
    <x v="157"/>
    <x v="165"/>
    <x v="163"/>
    <x v="11"/>
    <x v="0"/>
    <x v="3"/>
    <x v="0"/>
    <s v="Good Standing"/>
    <s v="Good Standing"/>
    <s v="Data Science"/>
  </r>
  <r>
    <s v="STD0278"/>
    <x v="3"/>
    <x v="158"/>
    <x v="147"/>
    <x v="164"/>
    <x v="28"/>
    <x v="0"/>
    <x v="3"/>
    <x v="0"/>
    <s v="Good Standing"/>
    <s v="Good Standing"/>
    <s v="Data Science"/>
  </r>
  <r>
    <s v="STD0035"/>
    <x v="4"/>
    <x v="159"/>
    <x v="166"/>
    <x v="165"/>
    <x v="172"/>
    <x v="0"/>
    <x v="4"/>
    <x v="0"/>
    <s v="Good Standing"/>
    <s v="Good Standing"/>
    <s v="Business Administration"/>
  </r>
  <r>
    <s v="STD0079"/>
    <x v="2"/>
    <x v="160"/>
    <x v="167"/>
    <x v="165"/>
    <x v="173"/>
    <x v="0"/>
    <x v="2"/>
    <x v="0"/>
    <s v="Good Standing"/>
    <s v="Good Standing"/>
    <s v="Economics"/>
  </r>
  <r>
    <s v="STD0155"/>
    <x v="5"/>
    <x v="161"/>
    <x v="168"/>
    <x v="166"/>
    <x v="69"/>
    <x v="1"/>
    <x v="5"/>
    <x v="1"/>
    <s v="At Risk"/>
    <s v="At Risk"/>
    <s v="Public Health"/>
  </r>
  <r>
    <s v="STD0188"/>
    <x v="4"/>
    <x v="136"/>
    <x v="77"/>
    <x v="167"/>
    <x v="174"/>
    <x v="0"/>
    <x v="4"/>
    <x v="0"/>
    <s v="Good Standing"/>
    <s v="Good Standing"/>
    <s v="Business Administration"/>
  </r>
  <r>
    <s v="STD0048"/>
    <x v="0"/>
    <x v="162"/>
    <x v="77"/>
    <x v="168"/>
    <x v="8"/>
    <x v="0"/>
    <x v="0"/>
    <x v="0"/>
    <s v="Good Standing"/>
    <s v="Good Standing"/>
    <s v="Computer Science"/>
  </r>
  <r>
    <s v="STD0071"/>
    <x v="0"/>
    <x v="163"/>
    <x v="36"/>
    <x v="169"/>
    <x v="175"/>
    <x v="0"/>
    <x v="0"/>
    <x v="0"/>
    <s v="Good Standing"/>
    <s v="Good Standing"/>
    <s v="Computer Science"/>
  </r>
  <r>
    <s v="STD0200"/>
    <x v="4"/>
    <x v="164"/>
    <x v="169"/>
    <x v="170"/>
    <x v="174"/>
    <x v="0"/>
    <x v="4"/>
    <x v="0"/>
    <s v="Good Standing"/>
    <s v="Good Standing"/>
    <s v="Business Administration"/>
  </r>
  <r>
    <s v="STD0172"/>
    <x v="4"/>
    <x v="144"/>
    <x v="0"/>
    <x v="170"/>
    <x v="176"/>
    <x v="1"/>
    <x v="4"/>
    <x v="1"/>
    <s v="At Risk"/>
    <s v="At Risk"/>
    <s v="Business Administration"/>
  </r>
  <r>
    <s v="STD0263"/>
    <x v="1"/>
    <x v="165"/>
    <x v="167"/>
    <x v="171"/>
    <x v="177"/>
    <x v="0"/>
    <x v="1"/>
    <x v="0"/>
    <s v="Good Standing"/>
    <s v="Good Standing"/>
    <s v="Unknown"/>
  </r>
  <r>
    <s v="STD0069"/>
    <x v="4"/>
    <x v="166"/>
    <x v="156"/>
    <x v="172"/>
    <x v="62"/>
    <x v="1"/>
    <x v="4"/>
    <x v="1"/>
    <s v="At Risk"/>
    <s v="At Risk"/>
    <s v="Business Administration"/>
  </r>
  <r>
    <s v="STD0143"/>
    <x v="0"/>
    <x v="167"/>
    <x v="125"/>
    <x v="173"/>
    <x v="178"/>
    <x v="0"/>
    <x v="0"/>
    <x v="0"/>
    <s v="Good Standing"/>
    <s v="Good Standing"/>
    <s v="Computer Science"/>
  </r>
  <r>
    <s v="STD0250"/>
    <x v="0"/>
    <x v="162"/>
    <x v="170"/>
    <x v="174"/>
    <x v="143"/>
    <x v="0"/>
    <x v="0"/>
    <x v="0"/>
    <s v="Good Standing"/>
    <s v="Good Standing"/>
    <s v="Computer Science"/>
  </r>
  <r>
    <s v="STD0083"/>
    <x v="3"/>
    <x v="168"/>
    <x v="118"/>
    <x v="175"/>
    <x v="179"/>
    <x v="0"/>
    <x v="3"/>
    <x v="0"/>
    <s v="Good Standing"/>
    <s v="Good Standing"/>
    <s v="Data Science"/>
  </r>
  <r>
    <s v="STD0142"/>
    <x v="5"/>
    <x v="9"/>
    <x v="171"/>
    <x v="176"/>
    <x v="180"/>
    <x v="1"/>
    <x v="5"/>
    <x v="1"/>
    <s v="At Risk"/>
    <s v="At Risk"/>
    <s v="Public Health"/>
  </r>
  <r>
    <s v="STD0112"/>
    <x v="4"/>
    <x v="169"/>
    <x v="172"/>
    <x v="177"/>
    <x v="181"/>
    <x v="1"/>
    <x v="4"/>
    <x v="1"/>
    <s v="At Risk"/>
    <s v="At Risk"/>
    <s v="Business Administration"/>
  </r>
  <r>
    <s v="STD0004"/>
    <x v="3"/>
    <x v="9"/>
    <x v="173"/>
    <x v="177"/>
    <x v="182"/>
    <x v="2"/>
    <x v="3"/>
    <x v="2"/>
    <s v="Unknown"/>
    <s v="Unknown"/>
    <s v="Data Science"/>
  </r>
  <r>
    <s v="unknow"/>
    <x v="3"/>
    <x v="170"/>
    <x v="88"/>
    <x v="178"/>
    <x v="11"/>
    <x v="0"/>
    <x v="3"/>
    <x v="0"/>
    <s v="Good Standing"/>
    <s v="Good Standing"/>
    <s v="Data Science"/>
  </r>
  <r>
    <s v="STD0171"/>
    <x v="6"/>
    <x v="161"/>
    <x v="88"/>
    <x v="179"/>
    <x v="2"/>
    <x v="2"/>
    <x v="6"/>
    <x v="2"/>
    <s v="Unknown"/>
    <s v="Unknown"/>
    <s v="Engineering"/>
  </r>
  <r>
    <s v="STD0162"/>
    <x v="1"/>
    <x v="142"/>
    <x v="174"/>
    <x v="180"/>
    <x v="183"/>
    <x v="0"/>
    <x v="1"/>
    <x v="0"/>
    <s v="Good Standing"/>
    <s v="Good Standing"/>
    <s v="Unknown"/>
  </r>
  <r>
    <s v="STD0211"/>
    <x v="4"/>
    <x v="132"/>
    <x v="8"/>
    <x v="181"/>
    <x v="184"/>
    <x v="0"/>
    <x v="4"/>
    <x v="0"/>
    <s v="Good Standing"/>
    <s v="Good Standing"/>
    <s v="Business Administration"/>
  </r>
  <r>
    <s v="STD0274"/>
    <x v="3"/>
    <x v="171"/>
    <x v="175"/>
    <x v="182"/>
    <x v="28"/>
    <x v="0"/>
    <x v="3"/>
    <x v="0"/>
    <s v="Good Standing"/>
    <s v="Good Standing"/>
    <s v="Data Science"/>
  </r>
  <r>
    <s v="unknow"/>
    <x v="6"/>
    <x v="172"/>
    <x v="176"/>
    <x v="183"/>
    <x v="185"/>
    <x v="0"/>
    <x v="6"/>
    <x v="0"/>
    <s v="Good Standing"/>
    <s v="Good Standing"/>
    <s v="Engineering"/>
  </r>
  <r>
    <s v="STD0078"/>
    <x v="3"/>
    <x v="173"/>
    <x v="34"/>
    <x v="184"/>
    <x v="186"/>
    <x v="0"/>
    <x v="3"/>
    <x v="0"/>
    <s v="Good Standing"/>
    <s v="Good Standing"/>
    <s v="Data Science"/>
  </r>
  <r>
    <s v="STD0280"/>
    <x v="3"/>
    <x v="16"/>
    <x v="177"/>
    <x v="185"/>
    <x v="187"/>
    <x v="0"/>
    <x v="3"/>
    <x v="0"/>
    <s v="Good Standing"/>
    <s v="Good Standing"/>
    <s v="Data Science"/>
  </r>
  <r>
    <s v="STD0103"/>
    <x v="4"/>
    <x v="174"/>
    <x v="88"/>
    <x v="186"/>
    <x v="28"/>
    <x v="1"/>
    <x v="4"/>
    <x v="0"/>
    <s v="At Risk"/>
    <s v="At Risk"/>
    <s v="Business Administration"/>
  </r>
  <r>
    <s v="STD0193"/>
    <x v="4"/>
    <x v="153"/>
    <x v="178"/>
    <x v="187"/>
    <x v="188"/>
    <x v="0"/>
    <x v="4"/>
    <x v="0"/>
    <s v="Good Standing"/>
    <s v="Good Standing"/>
    <s v="Business Administration"/>
  </r>
  <r>
    <s v="STD0229"/>
    <x v="5"/>
    <x v="9"/>
    <x v="4"/>
    <x v="188"/>
    <x v="28"/>
    <x v="0"/>
    <x v="5"/>
    <x v="0"/>
    <s v="Good Standing"/>
    <s v="Good Standing"/>
    <s v="Public Health"/>
  </r>
  <r>
    <s v="STD0272"/>
    <x v="5"/>
    <x v="175"/>
    <x v="175"/>
    <x v="188"/>
    <x v="189"/>
    <x v="0"/>
    <x v="5"/>
    <x v="0"/>
    <s v="Good Standing"/>
    <s v="Good Standing"/>
    <s v="Public Health"/>
  </r>
  <r>
    <s v="STD0045"/>
    <x v="0"/>
    <x v="133"/>
    <x v="92"/>
    <x v="188"/>
    <x v="103"/>
    <x v="0"/>
    <x v="0"/>
    <x v="0"/>
    <s v="Good Standing"/>
    <s v="Good Standing"/>
    <s v="Computer Science"/>
  </r>
  <r>
    <s v="STD0097"/>
    <x v="4"/>
    <x v="176"/>
    <x v="179"/>
    <x v="188"/>
    <x v="74"/>
    <x v="0"/>
    <x v="4"/>
    <x v="0"/>
    <s v="Good Standing"/>
    <s v="Good Standing"/>
    <s v="Business Administration"/>
  </r>
  <r>
    <s v="STD0214"/>
    <x v="5"/>
    <x v="177"/>
    <x v="180"/>
    <x v="188"/>
    <x v="190"/>
    <x v="1"/>
    <x v="5"/>
    <x v="0"/>
    <s v="At Risk"/>
    <s v="At Risk"/>
    <s v="Public Health"/>
  </r>
  <r>
    <s v="STD0053"/>
    <x v="3"/>
    <x v="155"/>
    <x v="169"/>
    <x v="188"/>
    <x v="191"/>
    <x v="0"/>
    <x v="3"/>
    <x v="0"/>
    <s v="Good Standing"/>
    <s v="Good Standing"/>
    <s v="Data Science"/>
  </r>
  <r>
    <s v="STD0093"/>
    <x v="4"/>
    <x v="178"/>
    <x v="126"/>
    <x v="188"/>
    <x v="192"/>
    <x v="0"/>
    <x v="4"/>
    <x v="0"/>
    <s v="Good Standing"/>
    <s v="Good Standing"/>
    <s v="Business Administration"/>
  </r>
  <r>
    <s v="STD0118"/>
    <x v="4"/>
    <x v="179"/>
    <x v="40"/>
    <x v="188"/>
    <x v="193"/>
    <x v="1"/>
    <x v="4"/>
    <x v="1"/>
    <s v="At Risk"/>
    <s v="At Risk"/>
    <s v="Business Administration"/>
  </r>
  <r>
    <s v="STD0098"/>
    <x v="4"/>
    <x v="5"/>
    <x v="88"/>
    <x v="188"/>
    <x v="194"/>
    <x v="0"/>
    <x v="4"/>
    <x v="0"/>
    <s v="Good Standing"/>
    <s v="Good Standing"/>
    <s v="Business Administration"/>
  </r>
  <r>
    <s v="STD0168"/>
    <x v="2"/>
    <x v="9"/>
    <x v="181"/>
    <x v="188"/>
    <x v="110"/>
    <x v="0"/>
    <x v="2"/>
    <x v="1"/>
    <s v="Good Standing"/>
    <s v="Good Standing"/>
    <s v="Economics"/>
  </r>
  <r>
    <s v="STD0181"/>
    <x v="2"/>
    <x v="180"/>
    <x v="182"/>
    <x v="188"/>
    <x v="195"/>
    <x v="1"/>
    <x v="2"/>
    <x v="0"/>
    <s v="At Risk"/>
    <s v="At Risk"/>
    <s v="Economics"/>
  </r>
  <r>
    <s v="STD0227"/>
    <x v="6"/>
    <x v="148"/>
    <x v="46"/>
    <x v="188"/>
    <x v="196"/>
    <x v="1"/>
    <x v="6"/>
    <x v="0"/>
    <s v="At Risk"/>
    <s v="At Risk"/>
    <s v="Engineering"/>
  </r>
  <r>
    <s v="STD0206"/>
    <x v="0"/>
    <x v="26"/>
    <x v="183"/>
    <x v="188"/>
    <x v="125"/>
    <x v="0"/>
    <x v="0"/>
    <x v="0"/>
    <s v="Good Standing"/>
    <s v="Good Standing"/>
    <s v="Computer Science"/>
  </r>
  <r>
    <s v="STD0042"/>
    <x v="0"/>
    <x v="132"/>
    <x v="184"/>
    <x v="188"/>
    <x v="165"/>
    <x v="0"/>
    <x v="0"/>
    <x v="1"/>
    <s v="Good Standing"/>
    <s v="Good Standing"/>
    <s v="Computer Science"/>
  </r>
  <r>
    <s v="STD0239"/>
    <x v="3"/>
    <x v="181"/>
    <x v="185"/>
    <x v="188"/>
    <x v="197"/>
    <x v="0"/>
    <x v="3"/>
    <x v="0"/>
    <s v="Good Standing"/>
    <s v="Good Standing"/>
    <s v="Data Science"/>
  </r>
  <r>
    <s v="STD0059"/>
    <x v="0"/>
    <x v="2"/>
    <x v="186"/>
    <x v="188"/>
    <x v="198"/>
    <x v="2"/>
    <x v="0"/>
    <x v="0"/>
    <s v="Unknown"/>
    <s v="Unknown"/>
    <s v="Computer Science"/>
  </r>
  <r>
    <s v="STD0139"/>
    <x v="5"/>
    <x v="60"/>
    <x v="187"/>
    <x v="188"/>
    <x v="107"/>
    <x v="0"/>
    <x v="5"/>
    <x v="1"/>
    <s v="Good Standing"/>
    <s v="Good Standing"/>
    <s v="Public Health"/>
  </r>
  <r>
    <s v="STD0257"/>
    <x v="3"/>
    <x v="182"/>
    <x v="188"/>
    <x v="188"/>
    <x v="70"/>
    <x v="2"/>
    <x v="3"/>
    <x v="0"/>
    <s v="Unknown"/>
    <s v="Unknown"/>
    <s v="Data Science"/>
  </r>
  <r>
    <s v="STD0204"/>
    <x v="5"/>
    <x v="183"/>
    <x v="29"/>
    <x v="188"/>
    <x v="199"/>
    <x v="0"/>
    <x v="5"/>
    <x v="0"/>
    <s v="Good Standing"/>
    <s v="Good Standing"/>
    <s v="Public Health"/>
  </r>
  <r>
    <s v="STD0150"/>
    <x v="6"/>
    <x v="87"/>
    <x v="187"/>
    <x v="188"/>
    <x v="200"/>
    <x v="0"/>
    <x v="6"/>
    <x v="0"/>
    <s v="Good Standing"/>
    <s v="Good Standing"/>
    <s v="Engineering"/>
  </r>
  <r>
    <s v="STD0267"/>
    <x v="1"/>
    <x v="100"/>
    <x v="189"/>
    <x v="189"/>
    <x v="201"/>
    <x v="0"/>
    <x v="1"/>
    <x v="0"/>
    <s v="Good Standing"/>
    <s v="Good Standing"/>
    <s v="Unknown"/>
  </r>
  <r>
    <s v="STD0158"/>
    <x v="0"/>
    <x v="166"/>
    <x v="30"/>
    <x v="190"/>
    <x v="202"/>
    <x v="1"/>
    <x v="0"/>
    <x v="0"/>
    <s v="At Risk"/>
    <s v="At Risk"/>
    <s v="Computer Science"/>
  </r>
  <r>
    <s v="STD0210"/>
    <x v="4"/>
    <x v="58"/>
    <x v="121"/>
    <x v="191"/>
    <x v="203"/>
    <x v="0"/>
    <x v="4"/>
    <x v="1"/>
    <s v="Good Standing"/>
    <s v="Good Standing"/>
    <s v="Business Administration"/>
  </r>
  <r>
    <s v="STD0104"/>
    <x v="4"/>
    <x v="184"/>
    <x v="190"/>
    <x v="192"/>
    <x v="204"/>
    <x v="0"/>
    <x v="4"/>
    <x v="0"/>
    <s v="Good Standing"/>
    <s v="Good Standing"/>
    <s v="Business Administration"/>
  </r>
  <r>
    <s v="STD0246"/>
    <x v="3"/>
    <x v="1"/>
    <x v="191"/>
    <x v="193"/>
    <x v="205"/>
    <x v="0"/>
    <x v="3"/>
    <x v="0"/>
    <s v="Good Standing"/>
    <s v="Good Standing"/>
    <s v="Data Science"/>
  </r>
  <r>
    <s v="STD0144"/>
    <x v="2"/>
    <x v="185"/>
    <x v="46"/>
    <x v="194"/>
    <x v="206"/>
    <x v="0"/>
    <x v="2"/>
    <x v="0"/>
    <s v="Good Standing"/>
    <s v="Good Standing"/>
    <s v="Economics"/>
  </r>
  <r>
    <s v="STD0132"/>
    <x v="0"/>
    <x v="186"/>
    <x v="192"/>
    <x v="195"/>
    <x v="207"/>
    <x v="0"/>
    <x v="0"/>
    <x v="0"/>
    <s v="Good Standing"/>
    <s v="Good Standing"/>
    <s v="Computer Science"/>
  </r>
  <r>
    <s v="STD0132"/>
    <x v="0"/>
    <x v="186"/>
    <x v="193"/>
    <x v="195"/>
    <x v="207"/>
    <x v="0"/>
    <x v="0"/>
    <x v="1"/>
    <s v="Good Standing"/>
    <s v="Good Standing"/>
    <s v="Computer Science"/>
  </r>
  <r>
    <s v="STD0061"/>
    <x v="5"/>
    <x v="61"/>
    <x v="194"/>
    <x v="196"/>
    <x v="87"/>
    <x v="1"/>
    <x v="5"/>
    <x v="0"/>
    <s v="At Risk"/>
    <s v="At Risk"/>
    <s v="Public Health"/>
  </r>
  <r>
    <s v="STD0245"/>
    <x v="4"/>
    <x v="187"/>
    <x v="107"/>
    <x v="197"/>
    <x v="11"/>
    <x v="0"/>
    <x v="4"/>
    <x v="1"/>
    <s v="Good Standing"/>
    <s v="Good Standing"/>
    <s v="Business Administration"/>
  </r>
  <r>
    <s v="STD0141"/>
    <x v="5"/>
    <x v="86"/>
    <x v="151"/>
    <x v="198"/>
    <x v="196"/>
    <x v="0"/>
    <x v="5"/>
    <x v="1"/>
    <s v="Good Standing"/>
    <s v="Good Standing"/>
    <s v="Public Health"/>
  </r>
  <r>
    <s v="STD0201"/>
    <x v="4"/>
    <x v="188"/>
    <x v="159"/>
    <x v="199"/>
    <x v="208"/>
    <x v="0"/>
    <x v="4"/>
    <x v="2"/>
    <s v="Good Standing"/>
    <s v="Good Standing"/>
    <s v="Business Administration"/>
  </r>
  <r>
    <s v="STD0201"/>
    <x v="4"/>
    <x v="188"/>
    <x v="4"/>
    <x v="199"/>
    <x v="208"/>
    <x v="0"/>
    <x v="4"/>
    <x v="0"/>
    <s v="Good Standing"/>
    <s v="Good Standing"/>
    <s v="Business Administration"/>
  </r>
  <r>
    <s v="unknow"/>
    <x v="3"/>
    <x v="157"/>
    <x v="9"/>
    <x v="200"/>
    <x v="209"/>
    <x v="0"/>
    <x v="3"/>
    <x v="0"/>
    <s v="Good Standing"/>
    <s v="Good Standing"/>
    <s v="Data Science"/>
  </r>
  <r>
    <s v="STD0262"/>
    <x v="2"/>
    <x v="113"/>
    <x v="195"/>
    <x v="201"/>
    <x v="210"/>
    <x v="0"/>
    <x v="2"/>
    <x v="1"/>
    <s v="Good Standing"/>
    <s v="Good Standing"/>
    <s v="Economics"/>
  </r>
  <r>
    <s v="STD0202"/>
    <x v="3"/>
    <x v="105"/>
    <x v="196"/>
    <x v="202"/>
    <x v="116"/>
    <x v="0"/>
    <x v="3"/>
    <x v="0"/>
    <s v="Good Standing"/>
    <s v="Good Standing"/>
    <s v="Data Science"/>
  </r>
  <r>
    <s v="STD0113"/>
    <x v="0"/>
    <x v="62"/>
    <x v="84"/>
    <x v="203"/>
    <x v="28"/>
    <x v="2"/>
    <x v="0"/>
    <x v="0"/>
    <s v="Unknown"/>
    <s v="Unknown"/>
    <s v="Computer Science"/>
  </r>
  <r>
    <s v="STD0199"/>
    <x v="0"/>
    <x v="89"/>
    <x v="197"/>
    <x v="204"/>
    <x v="28"/>
    <x v="0"/>
    <x v="0"/>
    <x v="0"/>
    <s v="Good Standing"/>
    <s v="Good Standing"/>
    <s v="Computer Science"/>
  </r>
  <r>
    <s v="STD0256"/>
    <x v="0"/>
    <x v="189"/>
    <x v="198"/>
    <x v="205"/>
    <x v="211"/>
    <x v="2"/>
    <x v="0"/>
    <x v="0"/>
    <s v="Unknown"/>
    <s v="Unknown"/>
    <s v="Computer Science"/>
  </r>
  <r>
    <s v="STD0277"/>
    <x v="3"/>
    <x v="172"/>
    <x v="44"/>
    <x v="206"/>
    <x v="28"/>
    <x v="0"/>
    <x v="3"/>
    <x v="0"/>
    <s v="Good Standing"/>
    <s v="Good Standing"/>
    <s v="Data Science"/>
  </r>
  <r>
    <s v="STD0114"/>
    <x v="2"/>
    <x v="190"/>
    <x v="199"/>
    <x v="207"/>
    <x v="212"/>
    <x v="0"/>
    <x v="2"/>
    <x v="0"/>
    <s v="Good Standing"/>
    <s v="Good Standing"/>
    <s v="Economics"/>
  </r>
  <r>
    <s v="STD0070"/>
    <x v="2"/>
    <x v="191"/>
    <x v="200"/>
    <x v="208"/>
    <x v="137"/>
    <x v="0"/>
    <x v="2"/>
    <x v="0"/>
    <s v="Good Standing"/>
    <s v="Good Standing"/>
    <s v="Economics"/>
  </r>
  <r>
    <s v="STD0021"/>
    <x v="5"/>
    <x v="192"/>
    <x v="201"/>
    <x v="209"/>
    <x v="213"/>
    <x v="1"/>
    <x v="5"/>
    <x v="0"/>
    <s v="At Risk"/>
    <s v="At Risk"/>
    <s v="Public Health"/>
  </r>
  <r>
    <s v="unknow"/>
    <x v="4"/>
    <x v="193"/>
    <x v="202"/>
    <x v="210"/>
    <x v="214"/>
    <x v="0"/>
    <x v="4"/>
    <x v="0"/>
    <s v="Good Standing"/>
    <s v="Good Standing"/>
    <s v="Business Administration"/>
  </r>
  <r>
    <s v="STD0038"/>
    <x v="6"/>
    <x v="194"/>
    <x v="144"/>
    <x v="211"/>
    <x v="215"/>
    <x v="0"/>
    <x v="6"/>
    <x v="0"/>
    <s v="Good Standing"/>
    <s v="Good Standing"/>
    <s v="Engineering"/>
  </r>
  <r>
    <s v="STD0234"/>
    <x v="0"/>
    <x v="148"/>
    <x v="2"/>
    <x v="212"/>
    <x v="140"/>
    <x v="0"/>
    <x v="0"/>
    <x v="1"/>
    <s v="Good Standing"/>
    <s v="Good Standing"/>
    <s v="Computer Science"/>
  </r>
  <r>
    <s v="STD0018"/>
    <x v="4"/>
    <x v="46"/>
    <x v="2"/>
    <x v="213"/>
    <x v="11"/>
    <x v="0"/>
    <x v="4"/>
    <x v="0"/>
    <s v="Good Standing"/>
    <s v="Good Standing"/>
    <s v="Business Administration"/>
  </r>
  <r>
    <s v="STD0148"/>
    <x v="0"/>
    <x v="106"/>
    <x v="139"/>
    <x v="214"/>
    <x v="109"/>
    <x v="0"/>
    <x v="0"/>
    <x v="0"/>
    <s v="Good Standing"/>
    <s v="Good Standing"/>
    <s v="Computer Science"/>
  </r>
  <r>
    <s v="STD0081"/>
    <x v="3"/>
    <x v="6"/>
    <x v="203"/>
    <x v="215"/>
    <x v="216"/>
    <x v="0"/>
    <x v="3"/>
    <x v="0"/>
    <s v="Good Standing"/>
    <s v="Good Standing"/>
    <s v="Data Science"/>
  </r>
  <r>
    <s v="unknow"/>
    <x v="3"/>
    <x v="165"/>
    <x v="204"/>
    <x v="216"/>
    <x v="217"/>
    <x v="1"/>
    <x v="3"/>
    <x v="1"/>
    <s v="At Risk"/>
    <s v="At Risk"/>
    <s v="Data Science"/>
  </r>
  <r>
    <s v="STD0099"/>
    <x v="2"/>
    <x v="56"/>
    <x v="38"/>
    <x v="217"/>
    <x v="35"/>
    <x v="0"/>
    <x v="2"/>
    <x v="2"/>
    <s v="Good Standing"/>
    <s v="Good Standing"/>
    <s v="Economics"/>
  </r>
  <r>
    <s v="STD0128"/>
    <x v="4"/>
    <x v="135"/>
    <x v="205"/>
    <x v="218"/>
    <x v="218"/>
    <x v="0"/>
    <x v="4"/>
    <x v="0"/>
    <s v="Good Standing"/>
    <s v="Good Standing"/>
    <s v="Business Administration"/>
  </r>
  <r>
    <s v="STD0125"/>
    <x v="6"/>
    <x v="62"/>
    <x v="206"/>
    <x v="219"/>
    <x v="219"/>
    <x v="0"/>
    <x v="6"/>
    <x v="0"/>
    <s v="Good Standing"/>
    <s v="Good Standing"/>
    <s v="Engineering"/>
  </r>
  <r>
    <s v="STD0057"/>
    <x v="0"/>
    <x v="37"/>
    <x v="207"/>
    <x v="220"/>
    <x v="60"/>
    <x v="0"/>
    <x v="0"/>
    <x v="0"/>
    <s v="Good Standing"/>
    <s v="Good Standing"/>
    <s v="Computer Scien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3D1462-EEC0-4D7F-9B96-75BA60E8F405}"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8:N12" firstHeaderRow="1" firstDataRow="1" firstDataCol="1"/>
  <pivotFields count="12">
    <pivotField showAll="0"/>
    <pivotField showAll="0">
      <items count="11">
        <item m="1" x="7"/>
        <item x="4"/>
        <item x="0"/>
        <item m="1" x="8"/>
        <item x="3"/>
        <item x="2"/>
        <item x="6"/>
        <item m="1" x="9"/>
        <item x="5"/>
        <item x="1"/>
        <item t="default"/>
      </items>
    </pivotField>
    <pivotField showAll="0"/>
    <pivotField showAll="0"/>
    <pivotField showAll="0"/>
    <pivotField dataField="1" showAll="0">
      <items count="221">
        <item x="95"/>
        <item x="132"/>
        <item x="166"/>
        <item x="138"/>
        <item x="48"/>
        <item x="90"/>
        <item x="89"/>
        <item x="216"/>
        <item x="54"/>
        <item x="99"/>
        <item x="214"/>
        <item x="154"/>
        <item x="206"/>
        <item x="188"/>
        <item x="86"/>
        <item x="209"/>
        <item x="108"/>
        <item x="207"/>
        <item x="201"/>
        <item x="205"/>
        <item x="27"/>
        <item x="152"/>
        <item x="144"/>
        <item x="100"/>
        <item x="83"/>
        <item x="80"/>
        <item x="107"/>
        <item x="219"/>
        <item x="23"/>
        <item x="155"/>
        <item x="104"/>
        <item x="52"/>
        <item x="175"/>
        <item x="121"/>
        <item x="185"/>
        <item x="96"/>
        <item x="213"/>
        <item x="66"/>
        <item x="111"/>
        <item x="85"/>
        <item x="198"/>
        <item x="50"/>
        <item x="133"/>
        <item x="38"/>
        <item x="42"/>
        <item x="88"/>
        <item x="64"/>
        <item x="9"/>
        <item x="114"/>
        <item x="3"/>
        <item x="162"/>
        <item x="73"/>
        <item x="191"/>
        <item x="193"/>
        <item x="74"/>
        <item x="75"/>
        <item x="151"/>
        <item x="10"/>
        <item x="139"/>
        <item x="43"/>
        <item x="92"/>
        <item x="195"/>
        <item x="135"/>
        <item x="142"/>
        <item x="147"/>
        <item x="218"/>
        <item x="197"/>
        <item x="22"/>
        <item x="186"/>
        <item x="106"/>
        <item x="63"/>
        <item x="76"/>
        <item x="55"/>
        <item x="70"/>
        <item x="211"/>
        <item x="136"/>
        <item x="18"/>
        <item x="65"/>
        <item x="37"/>
        <item x="125"/>
        <item x="6"/>
        <item x="123"/>
        <item x="149"/>
        <item x="173"/>
        <item x="153"/>
        <item x="176"/>
        <item x="130"/>
        <item x="174"/>
        <item x="58"/>
        <item x="203"/>
        <item x="187"/>
        <item x="36"/>
        <item x="44"/>
        <item x="5"/>
        <item x="68"/>
        <item x="102"/>
        <item x="56"/>
        <item x="53"/>
        <item x="45"/>
        <item x="62"/>
        <item x="87"/>
        <item x="120"/>
        <item x="117"/>
        <item x="2"/>
        <item x="127"/>
        <item x="159"/>
        <item x="179"/>
        <item x="20"/>
        <item x="210"/>
        <item x="148"/>
        <item x="140"/>
        <item x="119"/>
        <item x="40"/>
        <item x="28"/>
        <item x="178"/>
        <item x="194"/>
        <item x="77"/>
        <item x="41"/>
        <item x="101"/>
        <item x="94"/>
        <item x="13"/>
        <item x="19"/>
        <item x="164"/>
        <item x="84"/>
        <item x="51"/>
        <item x="113"/>
        <item x="124"/>
        <item x="78"/>
        <item x="137"/>
        <item x="82"/>
        <item x="79"/>
        <item x="145"/>
        <item x="189"/>
        <item x="29"/>
        <item x="116"/>
        <item x="161"/>
        <item x="196"/>
        <item x="71"/>
        <item x="8"/>
        <item x="32"/>
        <item x="33"/>
        <item x="212"/>
        <item x="158"/>
        <item x="192"/>
        <item x="170"/>
        <item x="141"/>
        <item x="59"/>
        <item x="0"/>
        <item x="46"/>
        <item x="182"/>
        <item x="14"/>
        <item x="25"/>
        <item x="163"/>
        <item x="49"/>
        <item x="143"/>
        <item x="172"/>
        <item x="93"/>
        <item x="169"/>
        <item x="15"/>
        <item x="30"/>
        <item x="105"/>
        <item x="110"/>
        <item x="98"/>
        <item x="190"/>
        <item x="122"/>
        <item x="24"/>
        <item x="103"/>
        <item x="208"/>
        <item x="109"/>
        <item x="217"/>
        <item x="69"/>
        <item x="67"/>
        <item x="202"/>
        <item x="112"/>
        <item x="17"/>
        <item x="12"/>
        <item x="72"/>
        <item x="181"/>
        <item x="184"/>
        <item x="167"/>
        <item x="39"/>
        <item x="156"/>
        <item x="57"/>
        <item x="160"/>
        <item x="200"/>
        <item x="165"/>
        <item x="183"/>
        <item x="115"/>
        <item x="61"/>
        <item x="35"/>
        <item x="129"/>
        <item x="118"/>
        <item x="180"/>
        <item x="1"/>
        <item x="177"/>
        <item x="7"/>
        <item x="60"/>
        <item x="146"/>
        <item x="171"/>
        <item x="131"/>
        <item x="157"/>
        <item x="81"/>
        <item x="16"/>
        <item x="128"/>
        <item x="215"/>
        <item x="47"/>
        <item x="91"/>
        <item x="21"/>
        <item x="4"/>
        <item x="150"/>
        <item x="31"/>
        <item x="126"/>
        <item x="97"/>
        <item x="199"/>
        <item x="134"/>
        <item x="204"/>
        <item x="11"/>
        <item x="34"/>
        <item x="26"/>
        <item x="168"/>
        <item t="default"/>
      </items>
    </pivotField>
    <pivotField showAll="0"/>
    <pivotField showAll="0"/>
    <pivotField axis="axisRow" showAll="0">
      <items count="4">
        <item x="1"/>
        <item x="0"/>
        <item x="2"/>
        <item t="default"/>
      </items>
    </pivotField>
    <pivotField showAll="0"/>
    <pivotField showAll="0"/>
    <pivotField showAll="0"/>
  </pivotFields>
  <rowFields count="1">
    <field x="8"/>
  </rowFields>
  <rowItems count="4">
    <i>
      <x/>
    </i>
    <i>
      <x v="1"/>
    </i>
    <i>
      <x v="2"/>
    </i>
    <i t="grand">
      <x/>
    </i>
  </rowItems>
  <colItems count="1">
    <i/>
  </colItems>
  <dataFields count="1">
    <dataField name="Count of Final_Score"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282469-33BA-47E1-9D59-CF64B6D7CA2C}"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2:B30" firstHeaderRow="1" firstDataRow="1" firstDataCol="1"/>
  <pivotFields count="12">
    <pivotField showAll="0"/>
    <pivotField axis="axisRow" showAll="0">
      <items count="11">
        <item m="1" x="7"/>
        <item x="4"/>
        <item x="0"/>
        <item m="1" x="8"/>
        <item x="3"/>
        <item x="2"/>
        <item x="6"/>
        <item m="1" x="9"/>
        <item x="5"/>
        <item x="1"/>
        <item t="default"/>
      </items>
    </pivotField>
    <pivotField showAll="0">
      <items count="196">
        <item x="29"/>
        <item x="67"/>
        <item x="131"/>
        <item x="186"/>
        <item x="50"/>
        <item x="152"/>
        <item x="169"/>
        <item x="130"/>
        <item x="146"/>
        <item x="110"/>
        <item x="116"/>
        <item x="9"/>
        <item x="79"/>
        <item x="66"/>
        <item x="76"/>
        <item x="84"/>
        <item x="167"/>
        <item x="111"/>
        <item x="61"/>
        <item x="187"/>
        <item x="31"/>
        <item x="15"/>
        <item x="32"/>
        <item x="143"/>
        <item x="36"/>
        <item x="156"/>
        <item x="45"/>
        <item x="150"/>
        <item x="99"/>
        <item x="97"/>
        <item x="49"/>
        <item x="193"/>
        <item x="81"/>
        <item x="174"/>
        <item x="24"/>
        <item x="11"/>
        <item x="18"/>
        <item x="33"/>
        <item x="68"/>
        <item x="148"/>
        <item x="120"/>
        <item x="59"/>
        <item x="139"/>
        <item x="87"/>
        <item x="43"/>
        <item x="85"/>
        <item x="90"/>
        <item x="30"/>
        <item x="93"/>
        <item x="121"/>
        <item x="41"/>
        <item x="191"/>
        <item x="180"/>
        <item x="109"/>
        <item x="0"/>
        <item x="125"/>
        <item x="162"/>
        <item x="119"/>
        <item x="34"/>
        <item x="27"/>
        <item x="160"/>
        <item x="3"/>
        <item x="10"/>
        <item x="176"/>
        <item x="14"/>
        <item x="134"/>
        <item x="23"/>
        <item x="35"/>
        <item x="26"/>
        <item x="183"/>
        <item x="19"/>
        <item x="113"/>
        <item x="7"/>
        <item x="103"/>
        <item x="157"/>
        <item x="96"/>
        <item x="192"/>
        <item x="114"/>
        <item x="65"/>
        <item x="58"/>
        <item x="158"/>
        <item x="141"/>
        <item x="151"/>
        <item x="1"/>
        <item x="159"/>
        <item x="166"/>
        <item x="21"/>
        <item x="82"/>
        <item x="105"/>
        <item x="172"/>
        <item x="20"/>
        <item x="117"/>
        <item x="182"/>
        <item x="115"/>
        <item x="53"/>
        <item x="102"/>
        <item x="5"/>
        <item x="170"/>
        <item x="189"/>
        <item x="126"/>
        <item x="74"/>
        <item x="165"/>
        <item x="12"/>
        <item x="106"/>
        <item x="135"/>
        <item x="83"/>
        <item x="72"/>
        <item x="69"/>
        <item x="75"/>
        <item x="80"/>
        <item x="17"/>
        <item x="62"/>
        <item x="37"/>
        <item x="101"/>
        <item x="8"/>
        <item x="46"/>
        <item x="161"/>
        <item x="6"/>
        <item x="22"/>
        <item x="60"/>
        <item x="118"/>
        <item x="44"/>
        <item x="194"/>
        <item x="77"/>
        <item x="56"/>
        <item x="153"/>
        <item x="149"/>
        <item x="168"/>
        <item x="123"/>
        <item x="145"/>
        <item x="39"/>
        <item x="38"/>
        <item x="104"/>
        <item x="28"/>
        <item x="133"/>
        <item x="47"/>
        <item x="138"/>
        <item x="92"/>
        <item x="136"/>
        <item x="163"/>
        <item x="2"/>
        <item x="98"/>
        <item x="154"/>
        <item x="89"/>
        <item x="171"/>
        <item x="95"/>
        <item x="132"/>
        <item x="4"/>
        <item x="112"/>
        <item x="185"/>
        <item x="25"/>
        <item x="128"/>
        <item x="124"/>
        <item x="70"/>
        <item x="40"/>
        <item x="155"/>
        <item x="54"/>
        <item x="184"/>
        <item x="140"/>
        <item x="86"/>
        <item x="63"/>
        <item x="13"/>
        <item x="181"/>
        <item x="100"/>
        <item x="91"/>
        <item x="64"/>
        <item x="57"/>
        <item x="142"/>
        <item x="94"/>
        <item x="144"/>
        <item x="78"/>
        <item x="71"/>
        <item x="88"/>
        <item x="173"/>
        <item x="175"/>
        <item x="178"/>
        <item x="177"/>
        <item x="107"/>
        <item x="179"/>
        <item x="108"/>
        <item x="188"/>
        <item x="127"/>
        <item x="122"/>
        <item x="129"/>
        <item x="164"/>
        <item x="190"/>
        <item x="55"/>
        <item x="73"/>
        <item x="147"/>
        <item x="48"/>
        <item x="52"/>
        <item x="51"/>
        <item x="137"/>
        <item x="42"/>
        <item x="16"/>
        <item t="default"/>
      </items>
    </pivotField>
    <pivotField showAll="0">
      <items count="209">
        <item x="134"/>
        <item x="193"/>
        <item x="157"/>
        <item x="195"/>
        <item x="114"/>
        <item x="155"/>
        <item x="106"/>
        <item x="133"/>
        <item x="141"/>
        <item x="90"/>
        <item x="65"/>
        <item x="120"/>
        <item x="66"/>
        <item x="79"/>
        <item x="115"/>
        <item x="196"/>
        <item x="198"/>
        <item x="122"/>
        <item x="9"/>
        <item x="35"/>
        <item x="151"/>
        <item x="104"/>
        <item x="154"/>
        <item x="28"/>
        <item x="32"/>
        <item x="171"/>
        <item x="190"/>
        <item x="27"/>
        <item x="73"/>
        <item x="192"/>
        <item x="175"/>
        <item x="126"/>
        <item x="41"/>
        <item x="99"/>
        <item x="166"/>
        <item x="22"/>
        <item x="52"/>
        <item x="23"/>
        <item x="62"/>
        <item x="0"/>
        <item x="103"/>
        <item x="55"/>
        <item x="200"/>
        <item x="30"/>
        <item x="205"/>
        <item x="153"/>
        <item x="105"/>
        <item x="123"/>
        <item x="16"/>
        <item x="117"/>
        <item x="149"/>
        <item x="147"/>
        <item x="139"/>
        <item x="78"/>
        <item x="64"/>
        <item x="46"/>
        <item x="8"/>
        <item x="75"/>
        <item x="7"/>
        <item x="182"/>
        <item x="76"/>
        <item x="95"/>
        <item x="188"/>
        <item x="12"/>
        <item x="170"/>
        <item x="74"/>
        <item x="161"/>
        <item x="201"/>
        <item x="168"/>
        <item x="150"/>
        <item x="82"/>
        <item x="107"/>
        <item x="53"/>
        <item x="176"/>
        <item x="38"/>
        <item x="111"/>
        <item x="185"/>
        <item x="71"/>
        <item x="197"/>
        <item x="1"/>
        <item x="20"/>
        <item x="96"/>
        <item x="31"/>
        <item x="72"/>
        <item x="61"/>
        <item x="121"/>
        <item x="77"/>
        <item x="25"/>
        <item x="204"/>
        <item x="159"/>
        <item x="85"/>
        <item x="48"/>
        <item x="102"/>
        <item x="4"/>
        <item x="164"/>
        <item x="60"/>
        <item x="34"/>
        <item x="26"/>
        <item x="39"/>
        <item x="189"/>
        <item x="40"/>
        <item x="109"/>
        <item x="5"/>
        <item x="13"/>
        <item x="15"/>
        <item x="10"/>
        <item x="84"/>
        <item x="91"/>
        <item x="98"/>
        <item x="132"/>
        <item x="58"/>
        <item x="50"/>
        <item x="174"/>
        <item x="18"/>
        <item x="129"/>
        <item x="11"/>
        <item x="130"/>
        <item x="137"/>
        <item x="127"/>
        <item x="54"/>
        <item x="45"/>
        <item x="181"/>
        <item x="125"/>
        <item x="37"/>
        <item x="83"/>
        <item x="144"/>
        <item x="29"/>
        <item x="49"/>
        <item x="3"/>
        <item x="140"/>
        <item x="56"/>
        <item x="70"/>
        <item x="36"/>
        <item x="165"/>
        <item x="24"/>
        <item x="124"/>
        <item x="108"/>
        <item x="42"/>
        <item x="169"/>
        <item x="112"/>
        <item x="177"/>
        <item x="89"/>
        <item x="68"/>
        <item x="206"/>
        <item x="59"/>
        <item x="100"/>
        <item x="86"/>
        <item x="6"/>
        <item x="202"/>
        <item x="136"/>
        <item x="97"/>
        <item x="57"/>
        <item x="203"/>
        <item x="145"/>
        <item x="187"/>
        <item x="128"/>
        <item x="101"/>
        <item x="21"/>
        <item x="138"/>
        <item x="44"/>
        <item x="194"/>
        <item x="131"/>
        <item x="199"/>
        <item x="116"/>
        <item x="173"/>
        <item x="69"/>
        <item x="186"/>
        <item x="110"/>
        <item x="167"/>
        <item x="33"/>
        <item x="183"/>
        <item x="2"/>
        <item x="94"/>
        <item x="135"/>
        <item x="19"/>
        <item x="148"/>
        <item x="156"/>
        <item x="93"/>
        <item x="184"/>
        <item x="80"/>
        <item x="178"/>
        <item x="118"/>
        <item x="158"/>
        <item x="14"/>
        <item x="81"/>
        <item x="51"/>
        <item x="63"/>
        <item x="113"/>
        <item x="17"/>
        <item x="92"/>
        <item x="152"/>
        <item x="142"/>
        <item x="43"/>
        <item x="172"/>
        <item x="162"/>
        <item x="143"/>
        <item x="160"/>
        <item x="119"/>
        <item x="179"/>
        <item x="207"/>
        <item x="191"/>
        <item x="67"/>
        <item x="47"/>
        <item x="146"/>
        <item x="87"/>
        <item x="88"/>
        <item x="180"/>
        <item x="163"/>
        <item t="default"/>
      </items>
    </pivotField>
    <pivotField dataField="1" showAll="0">
      <items count="222">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221">
        <item x="95"/>
        <item x="132"/>
        <item x="166"/>
        <item x="138"/>
        <item x="48"/>
        <item x="90"/>
        <item x="89"/>
        <item x="216"/>
        <item x="54"/>
        <item x="99"/>
        <item x="214"/>
        <item x="154"/>
        <item x="206"/>
        <item x="188"/>
        <item x="86"/>
        <item x="209"/>
        <item x="108"/>
        <item x="207"/>
        <item x="201"/>
        <item x="205"/>
        <item x="27"/>
        <item x="152"/>
        <item x="144"/>
        <item x="100"/>
        <item x="83"/>
        <item x="80"/>
        <item x="107"/>
        <item x="219"/>
        <item x="23"/>
        <item x="155"/>
        <item x="104"/>
        <item x="52"/>
        <item x="175"/>
        <item x="121"/>
        <item x="185"/>
        <item x="96"/>
        <item x="213"/>
        <item x="66"/>
        <item x="111"/>
        <item x="85"/>
        <item x="198"/>
        <item x="50"/>
        <item x="133"/>
        <item x="38"/>
        <item x="42"/>
        <item x="88"/>
        <item x="64"/>
        <item x="9"/>
        <item x="114"/>
        <item x="3"/>
        <item x="162"/>
        <item x="73"/>
        <item x="191"/>
        <item x="193"/>
        <item x="74"/>
        <item x="75"/>
        <item x="151"/>
        <item x="10"/>
        <item x="139"/>
        <item x="43"/>
        <item x="92"/>
        <item x="195"/>
        <item x="135"/>
        <item x="142"/>
        <item x="147"/>
        <item x="218"/>
        <item x="197"/>
        <item x="22"/>
        <item x="186"/>
        <item x="106"/>
        <item x="63"/>
        <item x="76"/>
        <item x="55"/>
        <item x="70"/>
        <item x="211"/>
        <item x="136"/>
        <item x="18"/>
        <item x="65"/>
        <item x="37"/>
        <item x="125"/>
        <item x="6"/>
        <item x="123"/>
        <item x="149"/>
        <item x="173"/>
        <item x="153"/>
        <item x="176"/>
        <item x="130"/>
        <item x="174"/>
        <item x="58"/>
        <item x="203"/>
        <item x="187"/>
        <item x="36"/>
        <item x="44"/>
        <item x="5"/>
        <item x="68"/>
        <item x="102"/>
        <item x="56"/>
        <item x="53"/>
        <item x="45"/>
        <item x="62"/>
        <item x="87"/>
        <item x="120"/>
        <item x="117"/>
        <item x="2"/>
        <item x="127"/>
        <item x="159"/>
        <item x="179"/>
        <item x="20"/>
        <item x="210"/>
        <item x="148"/>
        <item x="140"/>
        <item x="119"/>
        <item x="40"/>
        <item x="28"/>
        <item x="178"/>
        <item x="194"/>
        <item x="77"/>
        <item x="41"/>
        <item x="101"/>
        <item x="94"/>
        <item x="13"/>
        <item x="19"/>
        <item x="164"/>
        <item x="84"/>
        <item x="51"/>
        <item x="113"/>
        <item x="124"/>
        <item x="78"/>
        <item x="137"/>
        <item x="82"/>
        <item x="79"/>
        <item x="145"/>
        <item x="189"/>
        <item x="29"/>
        <item x="116"/>
        <item x="161"/>
        <item x="196"/>
        <item x="71"/>
        <item x="8"/>
        <item x="32"/>
        <item x="33"/>
        <item x="212"/>
        <item x="158"/>
        <item x="192"/>
        <item x="170"/>
        <item x="141"/>
        <item x="59"/>
        <item x="0"/>
        <item x="46"/>
        <item x="182"/>
        <item x="14"/>
        <item x="25"/>
        <item x="163"/>
        <item x="49"/>
        <item x="143"/>
        <item x="172"/>
        <item x="93"/>
        <item x="169"/>
        <item x="15"/>
        <item x="30"/>
        <item x="105"/>
        <item x="110"/>
        <item x="98"/>
        <item x="190"/>
        <item x="122"/>
        <item x="24"/>
        <item x="103"/>
        <item x="208"/>
        <item x="109"/>
        <item x="217"/>
        <item x="69"/>
        <item x="67"/>
        <item x="202"/>
        <item x="112"/>
        <item x="17"/>
        <item x="12"/>
        <item x="72"/>
        <item x="181"/>
        <item x="184"/>
        <item x="167"/>
        <item x="39"/>
        <item x="156"/>
        <item x="57"/>
        <item x="160"/>
        <item x="200"/>
        <item x="165"/>
        <item x="183"/>
        <item x="115"/>
        <item x="61"/>
        <item x="35"/>
        <item x="129"/>
        <item x="118"/>
        <item x="180"/>
        <item x="1"/>
        <item x="177"/>
        <item x="7"/>
        <item x="60"/>
        <item x="146"/>
        <item x="171"/>
        <item x="131"/>
        <item x="157"/>
        <item x="81"/>
        <item x="16"/>
        <item x="128"/>
        <item x="215"/>
        <item x="47"/>
        <item x="91"/>
        <item x="21"/>
        <item x="4"/>
        <item x="150"/>
        <item x="31"/>
        <item x="126"/>
        <item x="97"/>
        <item x="199"/>
        <item x="134"/>
        <item x="204"/>
        <item x="11"/>
        <item x="34"/>
        <item x="26"/>
        <item x="168"/>
        <item t="default"/>
      </items>
    </pivotField>
    <pivotField showAll="0"/>
    <pivotField showAll="0"/>
    <pivotField showAll="0"/>
    <pivotField showAll="0"/>
    <pivotField showAll="0"/>
    <pivotField showAll="0"/>
  </pivotFields>
  <rowFields count="1">
    <field x="1"/>
  </rowFields>
  <rowItems count="8">
    <i>
      <x v="1"/>
    </i>
    <i>
      <x v="2"/>
    </i>
    <i>
      <x v="4"/>
    </i>
    <i>
      <x v="5"/>
    </i>
    <i>
      <x v="6"/>
    </i>
    <i>
      <x v="8"/>
    </i>
    <i>
      <x v="9"/>
    </i>
    <i t="grand">
      <x/>
    </i>
  </rowItems>
  <colItems count="1">
    <i/>
  </colItems>
  <dataFields count="1">
    <dataField name="Sum of Midterm_Score"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1AF3F8-D248-4A0F-B645-B78B105EF6E3}"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8:H12" firstHeaderRow="1" firstDataRow="1" firstDataCol="1"/>
  <pivotFields count="12">
    <pivotField dataField="1"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s>
  <rowFields count="1">
    <field x="8"/>
  </rowFields>
  <rowItems count="4">
    <i>
      <x/>
    </i>
    <i>
      <x v="1"/>
    </i>
    <i>
      <x v="2"/>
    </i>
    <i t="grand">
      <x/>
    </i>
  </rowItems>
  <colItems count="1">
    <i/>
  </colItems>
  <dataFields count="1">
    <dataField name="Count of Student_ID" fld="0" subtotal="count" baseField="0" baseItem="0"/>
  </dataField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8" count="1" selected="0">
            <x v="0"/>
          </reference>
        </references>
      </pivotArea>
    </chartFormat>
    <chartFormat chart="3" format="2">
      <pivotArea type="data" outline="0" fieldPosition="0">
        <references count="2">
          <reference field="4294967294" count="1" selected="0">
            <x v="0"/>
          </reference>
          <reference field="8" count="1" selected="0">
            <x v="1"/>
          </reference>
        </references>
      </pivotArea>
    </chartFormat>
    <chartFormat chart="3"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D1D801-7144-4449-8494-1A30609CE31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9:B17" firstHeaderRow="1" firstDataRow="1" firstDataCol="1" rowPageCount="1" colPageCount="1"/>
  <pivotFields count="12">
    <pivotField dataField="1" showAll="0"/>
    <pivotField showAll="0"/>
    <pivotField axis="axisPage" showAll="0">
      <items count="196">
        <item x="29"/>
        <item x="67"/>
        <item x="131"/>
        <item x="186"/>
        <item x="50"/>
        <item x="152"/>
        <item x="169"/>
        <item x="130"/>
        <item x="146"/>
        <item x="110"/>
        <item x="116"/>
        <item x="9"/>
        <item x="79"/>
        <item x="66"/>
        <item x="76"/>
        <item x="84"/>
        <item x="167"/>
        <item x="111"/>
        <item x="61"/>
        <item x="187"/>
        <item x="31"/>
        <item x="15"/>
        <item x="32"/>
        <item x="143"/>
        <item x="36"/>
        <item x="156"/>
        <item x="45"/>
        <item x="150"/>
        <item x="99"/>
        <item x="97"/>
        <item x="49"/>
        <item x="193"/>
        <item x="81"/>
        <item x="174"/>
        <item x="24"/>
        <item x="11"/>
        <item x="18"/>
        <item x="33"/>
        <item x="68"/>
        <item x="148"/>
        <item x="120"/>
        <item x="59"/>
        <item x="139"/>
        <item x="87"/>
        <item x="43"/>
        <item x="85"/>
        <item x="90"/>
        <item x="30"/>
        <item x="93"/>
        <item x="121"/>
        <item x="41"/>
        <item x="191"/>
        <item x="180"/>
        <item x="109"/>
        <item x="0"/>
        <item x="125"/>
        <item x="162"/>
        <item x="119"/>
        <item x="34"/>
        <item x="27"/>
        <item x="160"/>
        <item x="3"/>
        <item x="10"/>
        <item x="176"/>
        <item x="14"/>
        <item x="134"/>
        <item x="23"/>
        <item x="35"/>
        <item x="26"/>
        <item x="183"/>
        <item x="19"/>
        <item x="113"/>
        <item x="7"/>
        <item x="103"/>
        <item x="157"/>
        <item x="96"/>
        <item x="192"/>
        <item x="114"/>
        <item x="65"/>
        <item x="58"/>
        <item x="158"/>
        <item x="141"/>
        <item x="151"/>
        <item x="1"/>
        <item x="159"/>
        <item x="166"/>
        <item x="21"/>
        <item x="82"/>
        <item x="105"/>
        <item x="172"/>
        <item x="20"/>
        <item x="117"/>
        <item x="182"/>
        <item x="115"/>
        <item x="53"/>
        <item x="102"/>
        <item x="5"/>
        <item x="170"/>
        <item x="189"/>
        <item x="126"/>
        <item x="74"/>
        <item x="165"/>
        <item x="12"/>
        <item x="106"/>
        <item x="135"/>
        <item x="83"/>
        <item x="72"/>
        <item x="69"/>
        <item x="75"/>
        <item x="80"/>
        <item x="17"/>
        <item x="62"/>
        <item x="37"/>
        <item x="101"/>
        <item x="8"/>
        <item x="46"/>
        <item x="161"/>
        <item x="6"/>
        <item x="22"/>
        <item x="60"/>
        <item x="118"/>
        <item x="44"/>
        <item x="194"/>
        <item x="77"/>
        <item x="56"/>
        <item x="153"/>
        <item x="149"/>
        <item x="168"/>
        <item x="123"/>
        <item x="145"/>
        <item x="39"/>
        <item x="38"/>
        <item x="104"/>
        <item x="28"/>
        <item x="133"/>
        <item x="47"/>
        <item x="138"/>
        <item x="92"/>
        <item x="136"/>
        <item x="163"/>
        <item x="2"/>
        <item x="98"/>
        <item x="154"/>
        <item x="89"/>
        <item x="171"/>
        <item x="95"/>
        <item x="132"/>
        <item x="4"/>
        <item x="112"/>
        <item x="185"/>
        <item x="25"/>
        <item x="128"/>
        <item x="124"/>
        <item x="70"/>
        <item x="40"/>
        <item x="155"/>
        <item x="54"/>
        <item x="184"/>
        <item x="140"/>
        <item x="86"/>
        <item x="63"/>
        <item x="13"/>
        <item x="181"/>
        <item x="100"/>
        <item x="91"/>
        <item x="64"/>
        <item x="57"/>
        <item x="142"/>
        <item x="94"/>
        <item x="144"/>
        <item x="78"/>
        <item x="71"/>
        <item x="88"/>
        <item x="173"/>
        <item x="175"/>
        <item x="178"/>
        <item x="177"/>
        <item x="107"/>
        <item x="179"/>
        <item x="108"/>
        <item x="188"/>
        <item x="127"/>
        <item x="122"/>
        <item x="129"/>
        <item x="164"/>
        <item x="190"/>
        <item x="55"/>
        <item x="73"/>
        <item x="147"/>
        <item x="48"/>
        <item x="52"/>
        <item x="51"/>
        <item x="137"/>
        <item x="42"/>
        <item x="16"/>
        <item t="default"/>
      </items>
    </pivotField>
    <pivotField showAll="0"/>
    <pivotField showAll="0"/>
    <pivotField showAll="0"/>
    <pivotField showAll="0"/>
    <pivotField axis="axisRow" showAll="0">
      <items count="8">
        <item x="4"/>
        <item x="0"/>
        <item x="3"/>
        <item x="2"/>
        <item x="6"/>
        <item x="5"/>
        <item x="1"/>
        <item t="default"/>
      </items>
    </pivotField>
    <pivotField showAll="0"/>
    <pivotField showAll="0"/>
    <pivotField showAll="0"/>
    <pivotField showAll="0"/>
  </pivotFields>
  <rowFields count="1">
    <field x="7"/>
  </rowFields>
  <rowItems count="8">
    <i>
      <x/>
    </i>
    <i>
      <x v="1"/>
    </i>
    <i>
      <x v="2"/>
    </i>
    <i>
      <x v="3"/>
    </i>
    <i>
      <x v="4"/>
    </i>
    <i>
      <x v="5"/>
    </i>
    <i>
      <x v="6"/>
    </i>
    <i t="grand">
      <x/>
    </i>
  </rowItems>
  <colItems count="1">
    <i/>
  </colItems>
  <pageFields count="1">
    <pageField fld="2" hier="-1"/>
  </pageFields>
  <dataFields count="1">
    <dataField name="Count of Student_ID"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61280C-9061-4513-AB27-A76403A74EB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15:K23" firstHeaderRow="1" firstDataRow="1" firstDataCol="1"/>
  <pivotFields count="12">
    <pivotField showAll="0"/>
    <pivotField showAll="0"/>
    <pivotField showAll="0">
      <items count="196">
        <item x="29"/>
        <item x="67"/>
        <item x="131"/>
        <item x="186"/>
        <item x="50"/>
        <item x="152"/>
        <item x="169"/>
        <item x="130"/>
        <item x="146"/>
        <item x="110"/>
        <item x="116"/>
        <item x="9"/>
        <item x="79"/>
        <item x="66"/>
        <item x="76"/>
        <item x="84"/>
        <item x="167"/>
        <item x="111"/>
        <item x="61"/>
        <item x="187"/>
        <item x="31"/>
        <item x="15"/>
        <item x="32"/>
        <item x="143"/>
        <item x="36"/>
        <item x="156"/>
        <item x="45"/>
        <item x="150"/>
        <item x="99"/>
        <item x="97"/>
        <item x="49"/>
        <item x="193"/>
        <item x="81"/>
        <item x="174"/>
        <item x="24"/>
        <item x="11"/>
        <item x="18"/>
        <item x="33"/>
        <item x="68"/>
        <item x="148"/>
        <item x="120"/>
        <item x="59"/>
        <item x="139"/>
        <item x="87"/>
        <item x="43"/>
        <item x="85"/>
        <item x="90"/>
        <item x="30"/>
        <item x="93"/>
        <item x="121"/>
        <item x="41"/>
        <item x="191"/>
        <item x="180"/>
        <item x="109"/>
        <item x="0"/>
        <item x="125"/>
        <item x="162"/>
        <item x="119"/>
        <item x="34"/>
        <item x="27"/>
        <item x="160"/>
        <item x="3"/>
        <item x="10"/>
        <item x="176"/>
        <item x="14"/>
        <item x="134"/>
        <item x="23"/>
        <item x="35"/>
        <item x="26"/>
        <item x="183"/>
        <item x="19"/>
        <item x="113"/>
        <item x="7"/>
        <item x="103"/>
        <item x="157"/>
        <item x="96"/>
        <item x="192"/>
        <item x="114"/>
        <item x="65"/>
        <item x="58"/>
        <item x="158"/>
        <item x="141"/>
        <item x="151"/>
        <item x="1"/>
        <item x="159"/>
        <item x="166"/>
        <item x="21"/>
        <item x="82"/>
        <item x="105"/>
        <item x="172"/>
        <item x="20"/>
        <item x="117"/>
        <item x="182"/>
        <item x="115"/>
        <item x="53"/>
        <item x="102"/>
        <item x="5"/>
        <item x="170"/>
        <item x="189"/>
        <item x="126"/>
        <item x="74"/>
        <item x="165"/>
        <item x="12"/>
        <item x="106"/>
        <item x="135"/>
        <item x="83"/>
        <item x="72"/>
        <item x="69"/>
        <item x="75"/>
        <item x="80"/>
        <item x="17"/>
        <item x="62"/>
        <item x="37"/>
        <item x="101"/>
        <item x="8"/>
        <item x="46"/>
        <item x="161"/>
        <item x="6"/>
        <item x="22"/>
        <item x="60"/>
        <item x="118"/>
        <item x="44"/>
        <item x="194"/>
        <item x="77"/>
        <item x="56"/>
        <item x="153"/>
        <item x="149"/>
        <item x="168"/>
        <item x="123"/>
        <item x="145"/>
        <item x="39"/>
        <item x="38"/>
        <item x="104"/>
        <item x="28"/>
        <item x="133"/>
        <item x="47"/>
        <item x="138"/>
        <item x="92"/>
        <item x="136"/>
        <item x="163"/>
        <item x="2"/>
        <item x="98"/>
        <item x="154"/>
        <item x="89"/>
        <item x="171"/>
        <item x="95"/>
        <item x="132"/>
        <item x="4"/>
        <item x="112"/>
        <item x="185"/>
        <item x="25"/>
        <item x="128"/>
        <item x="124"/>
        <item x="70"/>
        <item x="40"/>
        <item x="155"/>
        <item x="54"/>
        <item x="184"/>
        <item x="140"/>
        <item x="86"/>
        <item x="63"/>
        <item x="13"/>
        <item x="181"/>
        <item x="100"/>
        <item x="91"/>
        <item x="64"/>
        <item x="57"/>
        <item x="142"/>
        <item x="94"/>
        <item x="144"/>
        <item x="78"/>
        <item x="71"/>
        <item x="88"/>
        <item x="173"/>
        <item x="175"/>
        <item x="178"/>
        <item x="177"/>
        <item x="107"/>
        <item x="179"/>
        <item x="108"/>
        <item x="188"/>
        <item x="127"/>
        <item x="122"/>
        <item x="129"/>
        <item x="164"/>
        <item x="190"/>
        <item x="55"/>
        <item x="73"/>
        <item x="147"/>
        <item x="48"/>
        <item x="52"/>
        <item x="51"/>
        <item x="137"/>
        <item x="42"/>
        <item x="16"/>
        <item t="default"/>
      </items>
    </pivotField>
    <pivotField showAll="0"/>
    <pivotField showAll="0"/>
    <pivotField dataField="1" showAll="0"/>
    <pivotField showAll="0"/>
    <pivotField axis="axisRow" showAll="0">
      <items count="8">
        <item x="4"/>
        <item x="0"/>
        <item x="3"/>
        <item x="2"/>
        <item x="6"/>
        <item x="5"/>
        <item x="1"/>
        <item t="default"/>
      </items>
    </pivotField>
    <pivotField showAll="0">
      <items count="4">
        <item x="1"/>
        <item x="0"/>
        <item x="2"/>
        <item t="default"/>
      </items>
    </pivotField>
    <pivotField showAll="0"/>
    <pivotField showAll="0"/>
    <pivotField showAll="0"/>
  </pivotFields>
  <rowFields count="1">
    <field x="7"/>
  </rowFields>
  <rowItems count="8">
    <i>
      <x/>
    </i>
    <i>
      <x v="1"/>
    </i>
    <i>
      <x v="2"/>
    </i>
    <i>
      <x v="3"/>
    </i>
    <i>
      <x v="4"/>
    </i>
    <i>
      <x v="5"/>
    </i>
    <i>
      <x v="6"/>
    </i>
    <i t="grand">
      <x/>
    </i>
  </rowItems>
  <colItems count="1">
    <i/>
  </colItems>
  <dataFields count="1">
    <dataField name="Count of Final_Score"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946CA2-2004-4FDA-A7D7-3D277B71CBAB}"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E14:F19" firstHeaderRow="1" firstDataRow="1" firstDataCol="1"/>
  <pivotFields count="11">
    <pivotField dataField="1" showAll="0"/>
    <pivotField showAll="0"/>
    <pivotField showAll="0"/>
    <pivotField showAll="0"/>
    <pivotField showAll="0"/>
    <pivotField showAll="0"/>
    <pivotField showAll="0"/>
    <pivotField showAll="0"/>
    <pivotField axis="axisRow" showAll="0">
      <items count="5">
        <item x="1"/>
        <item x="0"/>
        <item x="2"/>
        <item x="3"/>
        <item t="default"/>
      </items>
    </pivotField>
    <pivotField showAll="0"/>
    <pivotField showAll="0"/>
  </pivotFields>
  <rowFields count="1">
    <field x="8"/>
  </rowFields>
  <rowItems count="5">
    <i>
      <x/>
    </i>
    <i>
      <x v="1"/>
    </i>
    <i>
      <x v="2"/>
    </i>
    <i>
      <x v="3"/>
    </i>
    <i t="grand">
      <x/>
    </i>
  </rowItems>
  <colItems count="1">
    <i/>
  </colItems>
  <dataFields count="1">
    <dataField name="Count of Student_ID" fld="0"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14CD79-2FB7-4D69-AA21-550AE7C09D81}"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2:B21" firstHeaderRow="1" firstDataRow="1" firstDataCol="1"/>
  <pivotFields count="9">
    <pivotField dataField="1" showAll="0"/>
    <pivotField axis="axisRow" showAll="0">
      <items count="9">
        <item x="4"/>
        <item x="0"/>
        <item x="3"/>
        <item x="2"/>
        <item x="6"/>
        <item x="5"/>
        <item x="1"/>
        <item x="7"/>
        <item t="default"/>
      </items>
    </pivotField>
    <pivotField showAll="0"/>
    <pivotField showAll="0"/>
    <pivotField showAll="0"/>
    <pivotField showAll="0"/>
    <pivotField showAll="0"/>
    <pivotField showAll="0"/>
    <pivotField showAll="0"/>
  </pivotFields>
  <rowFields count="1">
    <field x="1"/>
  </rowFields>
  <rowItems count="9">
    <i>
      <x/>
    </i>
    <i>
      <x v="1"/>
    </i>
    <i>
      <x v="2"/>
    </i>
    <i>
      <x v="3"/>
    </i>
    <i>
      <x v="4"/>
    </i>
    <i>
      <x v="5"/>
    </i>
    <i>
      <x v="6"/>
    </i>
    <i>
      <x v="7"/>
    </i>
    <i t="grand">
      <x/>
    </i>
  </rowItems>
  <colItems count="1">
    <i/>
  </colItems>
  <dataFields count="1">
    <dataField name="Count of Studen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2" xr10:uid="{A5990B7F-FE13-414B-BCD5-0993562C9108}" sourceName="Program">
  <pivotTables>
    <pivotTable tabId="11" name="PivotTable10"/>
  </pivotTables>
  <data>
    <tabular pivotCacheId="418477931">
      <items count="8">
        <i x="4" s="1"/>
        <i x="0" s="1"/>
        <i x="3" s="1"/>
        <i x="2" s="1"/>
        <i x="6" s="1"/>
        <i x="5" s="1"/>
        <i x="1"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_Percent1" xr10:uid="{302B588F-560B-4DD8-BB45-7E7F54EF3F97}" sourceName="Attendance_Percent">
  <pivotTables>
    <pivotTable tabId="11" name="PivotTable1"/>
  </pivotTables>
  <data>
    <tabular pivotCacheId="1041305031">
      <items count="195">
        <i x="29" s="1"/>
        <i x="67" s="1"/>
        <i x="131" s="1"/>
        <i x="186" s="1"/>
        <i x="50" s="1"/>
        <i x="152" s="1"/>
        <i x="169" s="1"/>
        <i x="130" s="1"/>
        <i x="146" s="1"/>
        <i x="110" s="1"/>
        <i x="116" s="1"/>
        <i x="9" s="1"/>
        <i x="79" s="1"/>
        <i x="66" s="1"/>
        <i x="76" s="1"/>
        <i x="84" s="1"/>
        <i x="167" s="1"/>
        <i x="111" s="1"/>
        <i x="61" s="1"/>
        <i x="187" s="1"/>
        <i x="31" s="1"/>
        <i x="15" s="1"/>
        <i x="32" s="1"/>
        <i x="143" s="1"/>
        <i x="36" s="1"/>
        <i x="156" s="1"/>
        <i x="45" s="1"/>
        <i x="150" s="1"/>
        <i x="99" s="1"/>
        <i x="97" s="1"/>
        <i x="49" s="1"/>
        <i x="193" s="1"/>
        <i x="81" s="1"/>
        <i x="174" s="1"/>
        <i x="24" s="1"/>
        <i x="11" s="1"/>
        <i x="18" s="1"/>
        <i x="33" s="1"/>
        <i x="68" s="1"/>
        <i x="148" s="1"/>
        <i x="120" s="1"/>
        <i x="59" s="1"/>
        <i x="139" s="1"/>
        <i x="87" s="1"/>
        <i x="43" s="1"/>
        <i x="85" s="1"/>
        <i x="90" s="1"/>
        <i x="30" s="1"/>
        <i x="93" s="1"/>
        <i x="121" s="1"/>
        <i x="41" s="1"/>
        <i x="191" s="1"/>
        <i x="180" s="1"/>
        <i x="109" s="1"/>
        <i x="0" s="1"/>
        <i x="125" s="1"/>
        <i x="162" s="1"/>
        <i x="119" s="1"/>
        <i x="34" s="1"/>
        <i x="27" s="1"/>
        <i x="160" s="1"/>
        <i x="3" s="1"/>
        <i x="10" s="1"/>
        <i x="176" s="1"/>
        <i x="14" s="1"/>
        <i x="134" s="1"/>
        <i x="23" s="1"/>
        <i x="35" s="1"/>
        <i x="26" s="1"/>
        <i x="183" s="1"/>
        <i x="19" s="1"/>
        <i x="113" s="1"/>
        <i x="7" s="1"/>
        <i x="103" s="1"/>
        <i x="157" s="1"/>
        <i x="96" s="1"/>
        <i x="192" s="1"/>
        <i x="114" s="1"/>
        <i x="65" s="1"/>
        <i x="58" s="1"/>
        <i x="158" s="1"/>
        <i x="141" s="1"/>
        <i x="151" s="1"/>
        <i x="1" s="1"/>
        <i x="159" s="1"/>
        <i x="166" s="1"/>
        <i x="21" s="1"/>
        <i x="82" s="1"/>
        <i x="105" s="1"/>
        <i x="172" s="1"/>
        <i x="20" s="1"/>
        <i x="117" s="1"/>
        <i x="182" s="1"/>
        <i x="115" s="1"/>
        <i x="53" s="1"/>
        <i x="102" s="1"/>
        <i x="5" s="1"/>
        <i x="170" s="1"/>
        <i x="189" s="1"/>
        <i x="126" s="1"/>
        <i x="74" s="1"/>
        <i x="165" s="1"/>
        <i x="12" s="1"/>
        <i x="106" s="1"/>
        <i x="135" s="1"/>
        <i x="83" s="1"/>
        <i x="72" s="1"/>
        <i x="69" s="1"/>
        <i x="75" s="1"/>
        <i x="80" s="1"/>
        <i x="17" s="1"/>
        <i x="62" s="1"/>
        <i x="37" s="1"/>
        <i x="101" s="1"/>
        <i x="8" s="1"/>
        <i x="46" s="1"/>
        <i x="161" s="1"/>
        <i x="6" s="1"/>
        <i x="22" s="1"/>
        <i x="60" s="1"/>
        <i x="118" s="1"/>
        <i x="44" s="1"/>
        <i x="194" s="1"/>
        <i x="77" s="1"/>
        <i x="56" s="1"/>
        <i x="153" s="1"/>
        <i x="149" s="1"/>
        <i x="168" s="1"/>
        <i x="123" s="1"/>
        <i x="145" s="1"/>
        <i x="39" s="1"/>
        <i x="38" s="1"/>
        <i x="104" s="1"/>
        <i x="28" s="1"/>
        <i x="133" s="1"/>
        <i x="47" s="1"/>
        <i x="138" s="1"/>
        <i x="92" s="1"/>
        <i x="136" s="1"/>
        <i x="163" s="1"/>
        <i x="2" s="1"/>
        <i x="98" s="1"/>
        <i x="154" s="1"/>
        <i x="89" s="1"/>
        <i x="171" s="1"/>
        <i x="95" s="1"/>
        <i x="132" s="1"/>
        <i x="4" s="1"/>
        <i x="112" s="1"/>
        <i x="185" s="1"/>
        <i x="25" s="1"/>
        <i x="128" s="1"/>
        <i x="124" s="1"/>
        <i x="70" s="1"/>
        <i x="40" s="1"/>
        <i x="155" s="1"/>
        <i x="54" s="1"/>
        <i x="184" s="1"/>
        <i x="140" s="1"/>
        <i x="86" s="1"/>
        <i x="63" s="1"/>
        <i x="13" s="1"/>
        <i x="181" s="1"/>
        <i x="100" s="1"/>
        <i x="91" s="1"/>
        <i x="64" s="1"/>
        <i x="57" s="1"/>
        <i x="142" s="1"/>
        <i x="94" s="1"/>
        <i x="144" s="1"/>
        <i x="78" s="1"/>
        <i x="71" s="1"/>
        <i x="88" s="1"/>
        <i x="173" s="1"/>
        <i x="175" s="1"/>
        <i x="178" s="1"/>
        <i x="177" s="1"/>
        <i x="107" s="1"/>
        <i x="179" s="1"/>
        <i x="108" s="1"/>
        <i x="188" s="1"/>
        <i x="127" s="1"/>
        <i x="122" s="1"/>
        <i x="129" s="1"/>
        <i x="164" s="1"/>
        <i x="190" s="1"/>
        <i x="55" s="1"/>
        <i x="73" s="1"/>
        <i x="147" s="1"/>
        <i x="48" s="1"/>
        <i x="52" s="1"/>
        <i x="51" s="1"/>
        <i x="137" s="1"/>
        <i x="42" s="1"/>
        <i x="1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Status" xr10:uid="{AF308C6A-5ADC-4F67-AA27-7BF66BAAC6D7}" sourceName="Academic Status">
  <pivotTables>
    <pivotTable tabId="11" name="PivotTable15"/>
  </pivotTables>
  <data>
    <tabular pivotCacheId="468999557">
      <items count="4">
        <i x="1" s="1"/>
        <i x="0" s="1"/>
        <i x="2"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_Clean" xr10:uid="{E902F95F-4C58-4546-8562-3BB0836D6B13}" sourceName="Program_Clean">
  <pivotTables>
    <pivotTable tabId="12" name="PivotTable3"/>
  </pivotTables>
  <data>
    <tabular pivotCacheId="1041305031">
      <items count="7">
        <i x="4" s="1"/>
        <i x="0" s="1"/>
        <i x="3" s="1"/>
        <i x="2" s="1"/>
        <i x="6" s="1"/>
        <i x="5"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Status2" xr10:uid="{288D258F-70F9-45D0-9BC1-FA846557C243}" sourceName="Academic Status">
  <pivotTables>
    <pivotTable tabId="12" name="PivotTable4"/>
  </pivotTables>
  <data>
    <tabular pivotCacheId="1041305031">
      <items count="3">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l_Score" xr10:uid="{77D3F7D4-172C-4680-B7F2-A80263B9747A}" sourceName="Final_Score">
  <pivotTables>
    <pivotTable tabId="12" name="PivotTable7"/>
  </pivotTables>
  <data>
    <tabular pivotCacheId="1041305031">
      <items count="220">
        <i x="95" s="1"/>
        <i x="132" s="1"/>
        <i x="166" s="1"/>
        <i x="138" s="1"/>
        <i x="48" s="1"/>
        <i x="90" s="1"/>
        <i x="89" s="1"/>
        <i x="216" s="1"/>
        <i x="54" s="1"/>
        <i x="99" s="1"/>
        <i x="214" s="1"/>
        <i x="154" s="1"/>
        <i x="206" s="1"/>
        <i x="188" s="1"/>
        <i x="86" s="1"/>
        <i x="209" s="1"/>
        <i x="108" s="1"/>
        <i x="207" s="1"/>
        <i x="201" s="1"/>
        <i x="205" s="1"/>
        <i x="27" s="1"/>
        <i x="152" s="1"/>
        <i x="144" s="1"/>
        <i x="100" s="1"/>
        <i x="83" s="1"/>
        <i x="80" s="1"/>
        <i x="107" s="1"/>
        <i x="219" s="1"/>
        <i x="23" s="1"/>
        <i x="155" s="1"/>
        <i x="104" s="1"/>
        <i x="52" s="1"/>
        <i x="175" s="1"/>
        <i x="121" s="1"/>
        <i x="185" s="1"/>
        <i x="96" s="1"/>
        <i x="213" s="1"/>
        <i x="66" s="1"/>
        <i x="111" s="1"/>
        <i x="85" s="1"/>
        <i x="198" s="1"/>
        <i x="50" s="1"/>
        <i x="133" s="1"/>
        <i x="38" s="1"/>
        <i x="42" s="1"/>
        <i x="88" s="1"/>
        <i x="64" s="1"/>
        <i x="9" s="1"/>
        <i x="114" s="1"/>
        <i x="3" s="1"/>
        <i x="162" s="1"/>
        <i x="73" s="1"/>
        <i x="191" s="1"/>
        <i x="193" s="1"/>
        <i x="74" s="1"/>
        <i x="75" s="1"/>
        <i x="151" s="1"/>
        <i x="10" s="1"/>
        <i x="139" s="1"/>
        <i x="43" s="1"/>
        <i x="92" s="1"/>
        <i x="195" s="1"/>
        <i x="135" s="1"/>
        <i x="142" s="1"/>
        <i x="147" s="1"/>
        <i x="218" s="1"/>
        <i x="197" s="1"/>
        <i x="22" s="1"/>
        <i x="186" s="1"/>
        <i x="106" s="1"/>
        <i x="63" s="1"/>
        <i x="76" s="1"/>
        <i x="55" s="1"/>
        <i x="70" s="1"/>
        <i x="211" s="1"/>
        <i x="136" s="1"/>
        <i x="18" s="1"/>
        <i x="65" s="1"/>
        <i x="37" s="1"/>
        <i x="125" s="1"/>
        <i x="6" s="1"/>
        <i x="123" s="1"/>
        <i x="149" s="1"/>
        <i x="173" s="1"/>
        <i x="153" s="1"/>
        <i x="176" s="1"/>
        <i x="130" s="1"/>
        <i x="174" s="1"/>
        <i x="58" s="1"/>
        <i x="203" s="1"/>
        <i x="187" s="1"/>
        <i x="36" s="1"/>
        <i x="44" s="1"/>
        <i x="5" s="1"/>
        <i x="68" s="1"/>
        <i x="102" s="1"/>
        <i x="56" s="1"/>
        <i x="53" s="1"/>
        <i x="45" s="1"/>
        <i x="62" s="1"/>
        <i x="87" s="1"/>
        <i x="120" s="1"/>
        <i x="117" s="1"/>
        <i x="2" s="1"/>
        <i x="127" s="1"/>
        <i x="159" s="1"/>
        <i x="179" s="1"/>
        <i x="20" s="1"/>
        <i x="210" s="1"/>
        <i x="148" s="1"/>
        <i x="140" s="1"/>
        <i x="119" s="1"/>
        <i x="40" s="1"/>
        <i x="28" s="1"/>
        <i x="178" s="1"/>
        <i x="194" s="1"/>
        <i x="77" s="1"/>
        <i x="41" s="1"/>
        <i x="101" s="1"/>
        <i x="94" s="1"/>
        <i x="13" s="1"/>
        <i x="19" s="1"/>
        <i x="164" s="1"/>
        <i x="84" s="1"/>
        <i x="51" s="1"/>
        <i x="113" s="1"/>
        <i x="124" s="1"/>
        <i x="78" s="1"/>
        <i x="137" s="1"/>
        <i x="82" s="1"/>
        <i x="79" s="1"/>
        <i x="145" s="1"/>
        <i x="189" s="1"/>
        <i x="29" s="1"/>
        <i x="116" s="1"/>
        <i x="161" s="1"/>
        <i x="196" s="1"/>
        <i x="71" s="1"/>
        <i x="8" s="1"/>
        <i x="32" s="1"/>
        <i x="33" s="1"/>
        <i x="212" s="1"/>
        <i x="158" s="1"/>
        <i x="192" s="1"/>
        <i x="170" s="1"/>
        <i x="141" s="1"/>
        <i x="59" s="1"/>
        <i x="0" s="1"/>
        <i x="46" s="1"/>
        <i x="182" s="1"/>
        <i x="14" s="1"/>
        <i x="25" s="1"/>
        <i x="163" s="1"/>
        <i x="49" s="1"/>
        <i x="143" s="1"/>
        <i x="172" s="1"/>
        <i x="93" s="1"/>
        <i x="169" s="1"/>
        <i x="15" s="1"/>
        <i x="30" s="1"/>
        <i x="105" s="1"/>
        <i x="110" s="1"/>
        <i x="98" s="1"/>
        <i x="190" s="1"/>
        <i x="122" s="1"/>
        <i x="24" s="1"/>
        <i x="103" s="1"/>
        <i x="208" s="1"/>
        <i x="109" s="1"/>
        <i x="217" s="1"/>
        <i x="69" s="1"/>
        <i x="67" s="1"/>
        <i x="202" s="1"/>
        <i x="112" s="1"/>
        <i x="17" s="1"/>
        <i x="12" s="1"/>
        <i x="72" s="1"/>
        <i x="181" s="1"/>
        <i x="184" s="1"/>
        <i x="167" s="1"/>
        <i x="39" s="1"/>
        <i x="156" s="1"/>
        <i x="57" s="1"/>
        <i x="160" s="1"/>
        <i x="200" s="1"/>
        <i x="165" s="1"/>
        <i x="183" s="1"/>
        <i x="115" s="1"/>
        <i x="61" s="1"/>
        <i x="35" s="1"/>
        <i x="129" s="1"/>
        <i x="118" s="1"/>
        <i x="180" s="1"/>
        <i x="1" s="1"/>
        <i x="177" s="1"/>
        <i x="7" s="1"/>
        <i x="60" s="1"/>
        <i x="146" s="1"/>
        <i x="171" s="1"/>
        <i x="131" s="1"/>
        <i x="157" s="1"/>
        <i x="81" s="1"/>
        <i x="16" s="1"/>
        <i x="128" s="1"/>
        <i x="215" s="1"/>
        <i x="47" s="1"/>
        <i x="91" s="1"/>
        <i x="21" s="1"/>
        <i x="4" s="1"/>
        <i x="150" s="1"/>
        <i x="31" s="1"/>
        <i x="126" s="1"/>
        <i x="97" s="1"/>
        <i x="199" s="1"/>
        <i x="134" s="1"/>
        <i x="204" s="1"/>
        <i x="11" s="1"/>
        <i x="34" s="1"/>
        <i x="26" s="1"/>
        <i x="16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gram_Clean" xr10:uid="{FC3C3310-7903-4EF4-A179-BCF30A70D5A6}" cache="Slicer_Program_Clean" caption="Program_Clean" rowHeight="241300"/>
  <slicer name="Academic Status 1" xr10:uid="{52659F40-A9F4-43F7-8853-E7D7FD3FDA5A}" cache="Slicer_Academic_Status2" caption="Academic Status" rowHeight="241300"/>
  <slicer name="Final_Score" xr10:uid="{14F43144-1FDF-4BBC-8081-15B08485571D}" cache="Slicer_Final_Score" caption="Final_Score" startItem="1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gram 2" xr10:uid="{850363A3-4478-4630-93B0-8062670016E7}" cache="Slicer_Program2" caption="Program" columnCount="2" rowHeight="241300"/>
  <slicer name="Attendance_Percent 1" xr10:uid="{B12B0F7B-8CBA-43BC-B932-337971502CD9}" cache="Slicer_Attendance_Percent1" caption="Attendance_Percent" startItem="36" columnCount="2" style="SlicerStyleLight2" rowHeight="241300"/>
  <slicer name="Academic Status" xr10:uid="{2A77117F-9FA7-42E8-8F5A-E0B1D07D3C23}" cache="Slicer_Academic_Status" caption="Academic Status"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D05574-5BFF-4267-89BF-CDB336A1B3C5}" name="Deeqo1" displayName="Deeqo1" ref="A1:M298" headerRowDxfId="6">
  <autoFilter ref="A1:M298" xr:uid="{0FD05574-5BFF-4267-89BF-CDB336A1B3C5}"/>
  <tableColumns count="13">
    <tableColumn id="1" xr3:uid="{223A0762-1435-41C6-A511-16B37F772716}" name="Student_ID"/>
    <tableColumn id="2" xr3:uid="{CEC97FCB-272B-4084-BD29-0F117770E73D}" name="Program"/>
    <tableColumn id="3" xr3:uid="{AA319EA6-737A-41C5-94F0-E534910F1685}" name="Attendance_Percent"/>
    <tableColumn id="4" xr3:uid="{7862B095-072C-41C5-9E15-8B9730B82741}" name="Assignment_Score"/>
    <tableColumn id="5" xr3:uid="{2527BA1F-531C-4C4B-92F4-431956493602}" name="Midterm_Score"/>
    <tableColumn id="6" xr3:uid="{5A6C9F1C-B260-4BE2-B588-4A10FDE185C0}" name="Final_Score"/>
    <tableColumn id="7" xr3:uid="{7A2B39F1-CD84-4C18-9685-4E91555F0FF3}" name="Academic_Status"/>
    <tableColumn id="8" xr3:uid="{2719D629-C439-498B-B1F5-350E92C5CC92}" name="Program_Clean" dataDxfId="5">
      <calculatedColumnFormula>IF(OR(TRIM(B2)="",TRIM(B2)="-",TRIM(B2)="Unknown"),"Unknown",IF(UPPER(TRIM(B2))="CS","Computer Science",IF(UPPER(TRIM(B2))="PH","Public Health",PROPER(TRIM(B2)))))</calculatedColumnFormula>
    </tableColumn>
    <tableColumn id="9" xr3:uid="{39E1FBF5-C87D-47E5-9574-F1FC91CD86C7}" name="Academic Status" dataDxfId="4"/>
    <tableColumn id="10" xr3:uid="{83F640C9-4140-4981-ACED-0F00692D1409}" name="Column1" dataDxfId="3">
      <calculatedColumnFormula>TRIM(G2)</calculatedColumnFormula>
    </tableColumn>
    <tableColumn id="11" xr3:uid="{2FDE7A80-D187-4CD2-9ADC-490E797F0FE6}" name="Column2" dataDxfId="2">
      <calculatedColumnFormula>TRIM(CLEAN(SUBSTITUTE(G2,CHAR(160)," ")))</calculatedColumnFormula>
    </tableColumn>
    <tableColumn id="12" xr3:uid="{C32B3BF3-229B-4F50-9437-AAE111DA0E16}" name="Computer Science" dataDxfId="1">
      <calculatedColumnFormula>TRIM(CLEAN(SUBSTITUTE(B2,CHAR(160)," ")))</calculatedColumnFormula>
    </tableColumn>
    <tableColumn id="13" xr3:uid="{0BC42936-56FE-4673-96C9-C62EB5377885}" name="Column3"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CCBA9-176C-460B-81F3-E592AFCD45C1}">
  <dimension ref="A1:G301"/>
  <sheetViews>
    <sheetView tabSelected="1" workbookViewId="0">
      <selection activeCell="D156" sqref="D156"/>
    </sheetView>
  </sheetViews>
  <sheetFormatPr defaultRowHeight="14.5"/>
  <cols>
    <col min="1" max="1" width="15.7265625" customWidth="1"/>
    <col min="2" max="2" width="24.453125" customWidth="1"/>
    <col min="3" max="3" width="24.6328125" customWidth="1"/>
    <col min="4" max="4" width="22" customWidth="1"/>
    <col min="5" max="5" width="17.90625" customWidth="1"/>
    <col min="6" max="6" width="15" customWidth="1"/>
    <col min="7" max="7" width="17.1796875" bestFit="1" customWidth="1"/>
  </cols>
  <sheetData>
    <row r="1" spans="1:7">
      <c r="A1" s="13" t="s">
        <v>13</v>
      </c>
      <c r="B1" s="13" t="s">
        <v>14</v>
      </c>
      <c r="C1" s="13" t="s">
        <v>15</v>
      </c>
      <c r="D1" s="13" t="s">
        <v>16</v>
      </c>
      <c r="E1" s="13" t="s">
        <v>17</v>
      </c>
      <c r="F1" s="13" t="s">
        <v>18</v>
      </c>
      <c r="G1" s="13" t="s">
        <v>19</v>
      </c>
    </row>
    <row r="2" spans="1:7">
      <c r="A2" t="s">
        <v>20</v>
      </c>
      <c r="B2" t="s">
        <v>21</v>
      </c>
      <c r="C2" s="14">
        <v>58.7</v>
      </c>
      <c r="D2" s="14">
        <v>69.8</v>
      </c>
      <c r="E2" s="14">
        <v>49.5</v>
      </c>
      <c r="F2" s="14"/>
      <c r="G2" t="s">
        <v>22</v>
      </c>
    </row>
    <row r="3" spans="1:7">
      <c r="A3" t="s">
        <v>23</v>
      </c>
      <c r="B3" t="s">
        <v>24</v>
      </c>
      <c r="C3" s="14">
        <v>55.6</v>
      </c>
      <c r="D3" s="14">
        <v>93.7</v>
      </c>
      <c r="E3" s="14">
        <v>52.4</v>
      </c>
      <c r="F3" s="14">
        <v>86.7</v>
      </c>
      <c r="G3" t="s">
        <v>22</v>
      </c>
    </row>
    <row r="4" spans="1:7">
      <c r="A4" t="s">
        <v>25</v>
      </c>
      <c r="B4" t="s">
        <v>21</v>
      </c>
      <c r="C4" s="14">
        <v>95.4</v>
      </c>
      <c r="D4" s="14">
        <v>53.1</v>
      </c>
      <c r="E4" s="14"/>
      <c r="F4" s="14">
        <v>76.2</v>
      </c>
      <c r="G4" t="s">
        <v>26</v>
      </c>
    </row>
    <row r="5" spans="1:7">
      <c r="A5" t="s">
        <v>27</v>
      </c>
      <c r="B5" t="s">
        <v>28</v>
      </c>
      <c r="C5" s="14">
        <v>86.7</v>
      </c>
      <c r="D5" s="14">
        <v>72.400000000000006</v>
      </c>
      <c r="E5" s="14">
        <v>71</v>
      </c>
      <c r="F5" s="14">
        <v>85.8</v>
      </c>
      <c r="G5" t="s">
        <v>26</v>
      </c>
    </row>
    <row r="6" spans="1:7">
      <c r="A6" t="s">
        <v>29</v>
      </c>
      <c r="B6" t="s">
        <v>30</v>
      </c>
      <c r="C6" s="14">
        <v>87.6</v>
      </c>
      <c r="D6" s="14">
        <v>91.8</v>
      </c>
      <c r="E6" s="14"/>
      <c r="F6" s="14">
        <v>84.7</v>
      </c>
      <c r="G6" t="s">
        <v>31</v>
      </c>
    </row>
    <row r="7" spans="1:7">
      <c r="A7" t="s">
        <v>32</v>
      </c>
      <c r="B7" t="s">
        <v>24</v>
      </c>
      <c r="C7" s="14">
        <v>74.099999999999994</v>
      </c>
      <c r="D7" s="14">
        <v>96</v>
      </c>
      <c r="E7" s="14"/>
      <c r="F7" s="14">
        <v>58</v>
      </c>
      <c r="G7" t="s">
        <v>26</v>
      </c>
    </row>
    <row r="8" spans="1:7">
      <c r="A8" t="s">
        <v>33</v>
      </c>
      <c r="B8" t="s">
        <v>34</v>
      </c>
      <c r="C8" s="14">
        <v>73.400000000000006</v>
      </c>
      <c r="D8" s="14">
        <v>77.7</v>
      </c>
      <c r="E8" s="14">
        <v>89.4</v>
      </c>
      <c r="F8" s="14">
        <v>46.4</v>
      </c>
      <c r="G8" t="s">
        <v>26</v>
      </c>
    </row>
    <row r="9" spans="1:7">
      <c r="A9" t="s">
        <v>35</v>
      </c>
      <c r="B9" t="s">
        <v>21</v>
      </c>
      <c r="C9" s="14"/>
      <c r="D9" s="14">
        <v>51.3</v>
      </c>
      <c r="E9" s="14">
        <v>75.599999999999994</v>
      </c>
      <c r="F9" s="14">
        <v>35.799999999999997</v>
      </c>
      <c r="G9" t="s">
        <v>22</v>
      </c>
    </row>
    <row r="10" spans="1:7">
      <c r="A10" t="s">
        <v>36</v>
      </c>
      <c r="B10" t="s">
        <v>30</v>
      </c>
      <c r="C10" s="14">
        <v>77.900000000000006</v>
      </c>
      <c r="D10" s="14">
        <v>65.8</v>
      </c>
      <c r="E10" s="14">
        <v>100</v>
      </c>
      <c r="F10" s="14">
        <v>91</v>
      </c>
      <c r="G10" t="s">
        <v>26</v>
      </c>
    </row>
    <row r="11" spans="1:7">
      <c r="A11" t="s">
        <v>37</v>
      </c>
      <c r="B11" t="s">
        <v>34</v>
      </c>
      <c r="C11" s="14">
        <v>100</v>
      </c>
      <c r="D11" s="14">
        <v>71.5</v>
      </c>
      <c r="E11" s="14">
        <v>94.5</v>
      </c>
      <c r="F11" s="14">
        <v>93.4</v>
      </c>
      <c r="G11" t="s">
        <v>26</v>
      </c>
    </row>
    <row r="12" spans="1:7">
      <c r="A12" t="s">
        <v>38</v>
      </c>
      <c r="B12" t="s">
        <v>21</v>
      </c>
      <c r="C12" s="14">
        <v>96.1</v>
      </c>
      <c r="D12" s="14" t="s">
        <v>39</v>
      </c>
      <c r="E12" s="14"/>
      <c r="F12" s="14">
        <v>83.8</v>
      </c>
      <c r="G12" t="s">
        <v>26</v>
      </c>
    </row>
    <row r="13" spans="1:7">
      <c r="A13" t="s">
        <v>40</v>
      </c>
      <c r="B13" t="s">
        <v>34</v>
      </c>
      <c r="C13" s="14">
        <v>83.9</v>
      </c>
      <c r="D13" s="14">
        <v>49.6</v>
      </c>
      <c r="E13" s="14">
        <v>86.8</v>
      </c>
      <c r="F13" s="14">
        <v>67</v>
      </c>
      <c r="G13" t="s">
        <v>26</v>
      </c>
    </row>
    <row r="14" spans="1:7">
      <c r="A14" t="s">
        <v>41</v>
      </c>
      <c r="C14" s="14">
        <v>98.6</v>
      </c>
      <c r="D14" s="14">
        <v>73.3</v>
      </c>
      <c r="E14" s="14">
        <v>83</v>
      </c>
      <c r="F14" s="14">
        <v>54.1</v>
      </c>
      <c r="G14" t="s">
        <v>26</v>
      </c>
    </row>
    <row r="15" spans="1:7">
      <c r="A15" t="s">
        <v>42</v>
      </c>
      <c r="B15" t="s">
        <v>30</v>
      </c>
      <c r="C15" s="14"/>
      <c r="D15" s="14">
        <v>88.4</v>
      </c>
      <c r="E15" s="14">
        <v>58.4</v>
      </c>
      <c r="F15" s="14">
        <v>85.8</v>
      </c>
      <c r="G15" t="s">
        <v>26</v>
      </c>
    </row>
    <row r="16" spans="1:7">
      <c r="A16" t="s">
        <v>43</v>
      </c>
      <c r="B16" t="s">
        <v>24</v>
      </c>
      <c r="C16" s="14">
        <v>73.099999999999994</v>
      </c>
      <c r="D16" s="14">
        <v>58.5</v>
      </c>
      <c r="E16" s="14">
        <v>66.099999999999994</v>
      </c>
      <c r="F16" s="14">
        <v>69.7</v>
      </c>
      <c r="G16" t="s">
        <v>26</v>
      </c>
    </row>
    <row r="17" spans="1:7">
      <c r="A17" t="s">
        <v>44</v>
      </c>
      <c r="B17" t="s">
        <v>34</v>
      </c>
      <c r="C17" s="14">
        <v>100</v>
      </c>
      <c r="D17" s="14">
        <v>43.6</v>
      </c>
      <c r="E17" s="14">
        <v>79</v>
      </c>
      <c r="F17" s="14">
        <v>85.6</v>
      </c>
      <c r="G17" t="s">
        <v>26</v>
      </c>
    </row>
    <row r="18" spans="1:7">
      <c r="A18" t="s">
        <v>45</v>
      </c>
      <c r="B18" t="s">
        <v>46</v>
      </c>
      <c r="C18" s="14">
        <v>83.4</v>
      </c>
      <c r="D18" s="14">
        <v>52.8</v>
      </c>
      <c r="E18" s="14">
        <v>78.099999999999994</v>
      </c>
      <c r="F18" s="14">
        <v>72.5</v>
      </c>
      <c r="G18" t="s">
        <v>26</v>
      </c>
    </row>
    <row r="19" spans="1:7">
      <c r="A19" t="s">
        <v>47</v>
      </c>
      <c r="B19" t="s">
        <v>34</v>
      </c>
      <c r="C19" s="14">
        <v>91.7</v>
      </c>
      <c r="D19" s="14">
        <v>78.3</v>
      </c>
      <c r="E19" s="14"/>
      <c r="F19" s="14">
        <v>57.3</v>
      </c>
      <c r="G19" t="s">
        <v>26</v>
      </c>
    </row>
    <row r="20" spans="1:7">
      <c r="A20" t="s">
        <v>48</v>
      </c>
      <c r="B20" t="s">
        <v>46</v>
      </c>
      <c r="C20" s="14"/>
      <c r="D20" s="14">
        <v>91</v>
      </c>
      <c r="E20" s="14">
        <v>68</v>
      </c>
      <c r="F20" s="14">
        <v>69.099999999999994</v>
      </c>
      <c r="G20" t="s">
        <v>26</v>
      </c>
    </row>
    <row r="21" spans="1:7">
      <c r="A21" t="s">
        <v>49</v>
      </c>
      <c r="B21" t="s">
        <v>30</v>
      </c>
      <c r="C21" s="14">
        <v>83.9</v>
      </c>
      <c r="D21" s="14">
        <v>96.6</v>
      </c>
      <c r="E21" s="14">
        <v>-2</v>
      </c>
      <c r="F21" s="14">
        <v>91.8</v>
      </c>
      <c r="G21" t="s">
        <v>26</v>
      </c>
    </row>
    <row r="22" spans="1:7">
      <c r="A22" t="s">
        <v>50</v>
      </c>
      <c r="B22" t="s">
        <v>34</v>
      </c>
      <c r="C22" s="14">
        <v>84.4</v>
      </c>
      <c r="D22" s="14">
        <v>82</v>
      </c>
      <c r="E22" s="14">
        <v>85.2</v>
      </c>
      <c r="F22" s="14">
        <v>100</v>
      </c>
      <c r="G22" t="s">
        <v>26</v>
      </c>
    </row>
    <row r="23" spans="1:7">
      <c r="A23" t="s">
        <v>51</v>
      </c>
      <c r="B23" t="s">
        <v>34</v>
      </c>
      <c r="C23" s="14">
        <v>63.2</v>
      </c>
      <c r="D23" s="14">
        <v>51.3</v>
      </c>
      <c r="E23" s="14">
        <v>88.6</v>
      </c>
      <c r="F23" s="14">
        <v>97.8</v>
      </c>
      <c r="G23" t="s">
        <v>22</v>
      </c>
    </row>
    <row r="24" spans="1:7">
      <c r="A24" t="s">
        <v>52</v>
      </c>
      <c r="B24" t="s">
        <v>24</v>
      </c>
      <c r="C24" s="14">
        <v>88.4</v>
      </c>
      <c r="D24" s="14">
        <v>67.599999999999994</v>
      </c>
      <c r="E24" s="14">
        <v>56</v>
      </c>
      <c r="F24" s="14">
        <v>66.2</v>
      </c>
      <c r="G24" t="s">
        <v>26</v>
      </c>
    </row>
    <row r="25" spans="1:7">
      <c r="A25" t="s">
        <v>53</v>
      </c>
      <c r="B25" t="s">
        <v>24</v>
      </c>
      <c r="C25" s="14">
        <v>79.7</v>
      </c>
      <c r="D25" s="14">
        <v>91.4</v>
      </c>
      <c r="E25" s="14">
        <v>91.7</v>
      </c>
      <c r="F25" s="14">
        <v>70.400000000000006</v>
      </c>
      <c r="G25" t="s">
        <v>26</v>
      </c>
    </row>
    <row r="26" spans="1:7">
      <c r="B26" t="s">
        <v>34</v>
      </c>
      <c r="C26" s="14">
        <v>80.900000000000006</v>
      </c>
      <c r="D26" s="14">
        <v>100</v>
      </c>
      <c r="E26" s="14">
        <v>52</v>
      </c>
      <c r="F26" s="14">
        <v>100</v>
      </c>
      <c r="G26" t="s">
        <v>26</v>
      </c>
    </row>
    <row r="27" spans="1:7">
      <c r="A27" t="s">
        <v>54</v>
      </c>
      <c r="B27" t="s">
        <v>30</v>
      </c>
      <c r="C27" s="14">
        <v>85.5</v>
      </c>
      <c r="D27" s="14">
        <v>64.3</v>
      </c>
      <c r="E27" s="14">
        <v>81.8</v>
      </c>
      <c r="F27" s="14">
        <v>68.099999999999994</v>
      </c>
      <c r="G27" t="s">
        <v>26</v>
      </c>
    </row>
    <row r="28" spans="1:7">
      <c r="A28" t="s">
        <v>55</v>
      </c>
      <c r="B28" t="s">
        <v>30</v>
      </c>
      <c r="C28" s="14"/>
      <c r="D28" s="14">
        <v>60.8</v>
      </c>
      <c r="E28" s="14">
        <v>79.5</v>
      </c>
      <c r="F28" s="14">
        <v>63</v>
      </c>
      <c r="G28" t="s">
        <v>26</v>
      </c>
    </row>
    <row r="29" spans="1:7">
      <c r="A29" t="s">
        <v>56</v>
      </c>
      <c r="B29" t="s">
        <v>30</v>
      </c>
      <c r="C29" s="14">
        <v>48.8</v>
      </c>
      <c r="D29" s="14">
        <v>69.3</v>
      </c>
      <c r="E29" s="14">
        <v>83.2</v>
      </c>
      <c r="F29" s="14">
        <v>81</v>
      </c>
    </row>
    <row r="30" spans="1:7">
      <c r="A30" t="s">
        <v>57</v>
      </c>
      <c r="B30" t="s">
        <v>34</v>
      </c>
      <c r="C30" s="14">
        <v>69.400000000000006</v>
      </c>
      <c r="D30" s="14">
        <v>56.1</v>
      </c>
      <c r="E30" s="14">
        <v>81.400000000000006</v>
      </c>
      <c r="F30" s="14"/>
      <c r="G30" t="s">
        <v>22</v>
      </c>
    </row>
    <row r="31" spans="1:7">
      <c r="A31" t="s">
        <v>58</v>
      </c>
      <c r="B31" t="s">
        <v>24</v>
      </c>
      <c r="C31" s="14">
        <v>62.8</v>
      </c>
      <c r="D31" s="14">
        <v>80.3</v>
      </c>
      <c r="E31" s="14">
        <v>81.099999999999994</v>
      </c>
      <c r="F31" s="14">
        <v>87.7</v>
      </c>
      <c r="G31" t="s">
        <v>22</v>
      </c>
    </row>
    <row r="32" spans="1:7">
      <c r="A32" t="s">
        <v>59</v>
      </c>
      <c r="B32" t="s">
        <v>28</v>
      </c>
      <c r="C32" s="14">
        <v>84.5</v>
      </c>
      <c r="D32" s="14">
        <v>100</v>
      </c>
      <c r="E32" s="14">
        <v>51.9</v>
      </c>
      <c r="F32" s="14">
        <v>69.400000000000006</v>
      </c>
      <c r="G32" t="s">
        <v>26</v>
      </c>
    </row>
    <row r="33" spans="1:7">
      <c r="A33" t="s">
        <v>60</v>
      </c>
      <c r="B33" t="s">
        <v>24</v>
      </c>
      <c r="C33" s="14">
        <v>76.2</v>
      </c>
      <c r="D33" s="14">
        <v>66.900000000000006</v>
      </c>
      <c r="E33" s="14">
        <v>72.900000000000006</v>
      </c>
      <c r="F33" s="14"/>
      <c r="G33" t="s">
        <v>26</v>
      </c>
    </row>
    <row r="34" spans="1:7">
      <c r="A34" t="s">
        <v>61</v>
      </c>
      <c r="B34" t="s">
        <v>21</v>
      </c>
      <c r="C34" s="14">
        <v>65.7</v>
      </c>
      <c r="D34" s="14">
        <v>100</v>
      </c>
      <c r="E34" s="14">
        <v>72.2</v>
      </c>
      <c r="F34" s="14">
        <v>84.7</v>
      </c>
      <c r="G34" t="s">
        <v>62</v>
      </c>
    </row>
    <row r="35" spans="1:7">
      <c r="A35" t="s">
        <v>63</v>
      </c>
      <c r="B35" t="s">
        <v>28</v>
      </c>
      <c r="C35" s="14"/>
      <c r="D35" s="14">
        <v>72.2</v>
      </c>
      <c r="E35" s="14">
        <v>75.7</v>
      </c>
      <c r="F35" s="14">
        <v>67.7</v>
      </c>
      <c r="G35" t="s">
        <v>26</v>
      </c>
    </row>
    <row r="36" spans="1:7">
      <c r="A36" t="s">
        <v>64</v>
      </c>
      <c r="B36" t="s">
        <v>30</v>
      </c>
      <c r="C36" s="14">
        <v>95</v>
      </c>
      <c r="D36" s="14">
        <v>95.2</v>
      </c>
      <c r="E36" s="14">
        <v>67</v>
      </c>
      <c r="F36" s="14">
        <v>80.099999999999994</v>
      </c>
      <c r="G36" t="s">
        <v>26</v>
      </c>
    </row>
    <row r="37" spans="1:7">
      <c r="A37" t="s">
        <v>65</v>
      </c>
      <c r="B37" t="s">
        <v>46</v>
      </c>
      <c r="C37" s="14">
        <v>68.900000000000006</v>
      </c>
      <c r="D37" s="14">
        <v>86</v>
      </c>
      <c r="E37" s="14">
        <v>59.3</v>
      </c>
      <c r="F37" s="14">
        <v>52.2</v>
      </c>
      <c r="G37" t="s">
        <v>22</v>
      </c>
    </row>
    <row r="38" spans="1:7">
      <c r="A38" t="s">
        <v>66</v>
      </c>
      <c r="B38" t="s">
        <v>21</v>
      </c>
      <c r="C38" s="14">
        <v>63.3</v>
      </c>
      <c r="D38" s="14">
        <v>89.2</v>
      </c>
      <c r="E38" s="14">
        <v>95.1</v>
      </c>
      <c r="F38" s="14">
        <v>82.9</v>
      </c>
      <c r="G38" t="s">
        <v>22</v>
      </c>
    </row>
    <row r="39" spans="1:7">
      <c r="A39" t="s">
        <v>67</v>
      </c>
      <c r="B39" t="s">
        <v>21</v>
      </c>
      <c r="C39" s="14">
        <v>82.1</v>
      </c>
      <c r="D39" s="14">
        <v>74.099999999999994</v>
      </c>
      <c r="E39" s="14">
        <v>96.2</v>
      </c>
      <c r="F39" s="14">
        <v>86.2</v>
      </c>
      <c r="G39" t="s">
        <v>26</v>
      </c>
    </row>
    <row r="40" spans="1:7">
      <c r="A40" t="s">
        <v>68</v>
      </c>
      <c r="B40" t="s">
        <v>21</v>
      </c>
      <c r="C40" s="14">
        <v>94.8</v>
      </c>
      <c r="D40" s="14">
        <v>79.099999999999994</v>
      </c>
      <c r="E40" s="14">
        <v>78.5</v>
      </c>
      <c r="F40" s="14">
        <v>62.3</v>
      </c>
      <c r="G40" t="s">
        <v>26</v>
      </c>
    </row>
    <row r="41" spans="1:7">
      <c r="A41" t="s">
        <v>69</v>
      </c>
      <c r="B41" t="s">
        <v>30</v>
      </c>
      <c r="C41" s="14">
        <v>83.8</v>
      </c>
      <c r="D41" s="14">
        <v>72.2</v>
      </c>
      <c r="E41" s="14">
        <v>44.1</v>
      </c>
      <c r="F41" s="14"/>
      <c r="G41" t="s">
        <v>22</v>
      </c>
    </row>
    <row r="42" spans="1:7">
      <c r="A42" t="s">
        <v>70</v>
      </c>
      <c r="B42" t="s">
        <v>24</v>
      </c>
      <c r="C42" s="14">
        <v>95.6</v>
      </c>
      <c r="D42" s="14">
        <v>53.2</v>
      </c>
      <c r="E42" s="14"/>
      <c r="F42" s="14">
        <v>78.7</v>
      </c>
      <c r="G42" t="s">
        <v>26</v>
      </c>
    </row>
    <row r="43" spans="1:7">
      <c r="A43" t="s">
        <v>71</v>
      </c>
      <c r="B43" t="s">
        <v>46</v>
      </c>
      <c r="C43" s="14">
        <v>97.7</v>
      </c>
      <c r="D43" s="14">
        <v>82.3</v>
      </c>
      <c r="E43" s="14">
        <v>42.3</v>
      </c>
      <c r="F43" s="14">
        <v>78.5</v>
      </c>
      <c r="G43" t="s">
        <v>26</v>
      </c>
    </row>
    <row r="44" spans="1:7">
      <c r="A44" t="s">
        <v>72</v>
      </c>
      <c r="B44" t="s">
        <v>24</v>
      </c>
      <c r="C44" s="14">
        <v>96.3</v>
      </c>
      <c r="D44" s="14">
        <v>70.900000000000006</v>
      </c>
      <c r="E44" s="14"/>
      <c r="F44" s="14">
        <v>57.9</v>
      </c>
      <c r="G44" t="s">
        <v>26</v>
      </c>
    </row>
    <row r="45" spans="1:7">
      <c r="A45" t="s">
        <v>73</v>
      </c>
      <c r="C45" s="14">
        <v>100</v>
      </c>
      <c r="D45" s="14">
        <v>50.8</v>
      </c>
      <c r="E45" s="14">
        <v>59.7</v>
      </c>
      <c r="F45" s="14">
        <v>78.599999999999994</v>
      </c>
      <c r="G45" t="s">
        <v>74</v>
      </c>
    </row>
    <row r="46" spans="1:7">
      <c r="A46" t="s">
        <v>75</v>
      </c>
      <c r="B46" t="s">
        <v>28</v>
      </c>
      <c r="C46" s="14">
        <v>82.1</v>
      </c>
      <c r="D46" s="14">
        <v>62.9</v>
      </c>
      <c r="E46" s="14">
        <v>77.900000000000006</v>
      </c>
      <c r="F46" s="14">
        <v>68.2</v>
      </c>
      <c r="G46" t="s">
        <v>26</v>
      </c>
    </row>
    <row r="47" spans="1:7">
      <c r="A47" t="s">
        <v>76</v>
      </c>
      <c r="B47" t="s">
        <v>30</v>
      </c>
      <c r="C47" s="14">
        <v>97.1</v>
      </c>
      <c r="D47" s="14">
        <v>78</v>
      </c>
      <c r="E47" s="14">
        <v>66</v>
      </c>
      <c r="F47" s="14">
        <v>66.099999999999994</v>
      </c>
      <c r="G47" t="s">
        <v>26</v>
      </c>
    </row>
    <row r="48" spans="1:7">
      <c r="A48" t="s">
        <v>77</v>
      </c>
      <c r="B48" t="s">
        <v>28</v>
      </c>
      <c r="C48" s="14">
        <v>98.1</v>
      </c>
      <c r="D48" s="14">
        <v>65</v>
      </c>
      <c r="E48" s="14">
        <v>78.3</v>
      </c>
      <c r="F48" s="14">
        <v>58.1</v>
      </c>
      <c r="G48" t="s">
        <v>26</v>
      </c>
    </row>
    <row r="49" spans="1:7">
      <c r="A49" t="s">
        <v>78</v>
      </c>
      <c r="C49" s="14">
        <v>86.4</v>
      </c>
      <c r="D49" s="14">
        <v>86.8</v>
      </c>
      <c r="E49" s="14">
        <v>58.9</v>
      </c>
      <c r="F49" s="14">
        <v>56.6</v>
      </c>
      <c r="G49" t="s">
        <v>26</v>
      </c>
    </row>
    <row r="50" spans="1:7">
      <c r="A50" t="s">
        <v>79</v>
      </c>
      <c r="B50" t="s">
        <v>46</v>
      </c>
      <c r="C50" s="14">
        <v>75.8</v>
      </c>
      <c r="D50" s="14">
        <v>70.599999999999994</v>
      </c>
      <c r="E50" s="14">
        <v>85.9</v>
      </c>
      <c r="F50" s="14">
        <v>72.7</v>
      </c>
      <c r="G50" t="s">
        <v>26</v>
      </c>
    </row>
    <row r="51" spans="1:7">
      <c r="A51" t="s">
        <v>80</v>
      </c>
      <c r="B51" t="s">
        <v>24</v>
      </c>
      <c r="C51" s="14">
        <v>77.3</v>
      </c>
      <c r="D51" s="14">
        <v>67.5</v>
      </c>
      <c r="E51" s="14">
        <v>48.8</v>
      </c>
      <c r="F51" s="14">
        <v>66.599999999999994</v>
      </c>
      <c r="G51" t="s">
        <v>26</v>
      </c>
    </row>
    <row r="52" spans="1:7">
      <c r="A52" t="s">
        <v>81</v>
      </c>
      <c r="B52" t="s">
        <v>34</v>
      </c>
      <c r="C52" s="14">
        <v>94.1</v>
      </c>
      <c r="D52" s="14">
        <v>86.7</v>
      </c>
      <c r="E52" s="14">
        <v>61</v>
      </c>
      <c r="F52" s="14">
        <v>38.700000000000003</v>
      </c>
      <c r="G52" t="s">
        <v>26</v>
      </c>
    </row>
    <row r="53" spans="1:7">
      <c r="A53" t="s">
        <v>82</v>
      </c>
      <c r="B53" t="s">
        <v>34</v>
      </c>
      <c r="C53" s="14"/>
      <c r="D53" s="14">
        <v>72.5</v>
      </c>
      <c r="E53" s="14">
        <v>72.7</v>
      </c>
      <c r="F53" s="14">
        <v>47.5</v>
      </c>
      <c r="G53" t="s">
        <v>26</v>
      </c>
    </row>
    <row r="54" spans="1:7">
      <c r="A54" t="s">
        <v>83</v>
      </c>
      <c r="B54" t="s">
        <v>30</v>
      </c>
      <c r="C54" s="14">
        <v>89.2</v>
      </c>
      <c r="D54" s="14">
        <v>65.2</v>
      </c>
      <c r="E54" s="14">
        <v>43.5</v>
      </c>
      <c r="F54" s="14"/>
      <c r="G54" t="s">
        <v>26</v>
      </c>
    </row>
    <row r="55" spans="1:7">
      <c r="A55" t="s">
        <v>84</v>
      </c>
      <c r="B55" t="s">
        <v>34</v>
      </c>
      <c r="C55" s="14">
        <v>83.3</v>
      </c>
      <c r="D55" s="14">
        <v>79.099999999999994</v>
      </c>
      <c r="E55" s="14">
        <v>78.400000000000006</v>
      </c>
      <c r="F55" s="14">
        <v>86.6</v>
      </c>
      <c r="G55" t="s">
        <v>26</v>
      </c>
    </row>
    <row r="56" spans="1:7">
      <c r="A56" t="s">
        <v>85</v>
      </c>
      <c r="B56" t="s">
        <v>21</v>
      </c>
      <c r="C56" s="14">
        <v>74</v>
      </c>
      <c r="D56" s="14">
        <v>49</v>
      </c>
      <c r="E56" s="14">
        <v>97.7</v>
      </c>
      <c r="F56" s="14">
        <v>58.8</v>
      </c>
      <c r="G56" t="s">
        <v>26</v>
      </c>
    </row>
    <row r="57" spans="1:7">
      <c r="A57" t="s">
        <v>86</v>
      </c>
      <c r="B57" t="s">
        <v>30</v>
      </c>
      <c r="C57" s="14">
        <v>86.9</v>
      </c>
      <c r="D57" s="14">
        <v>77.400000000000006</v>
      </c>
      <c r="E57" s="14">
        <v>86.7</v>
      </c>
      <c r="F57" s="14">
        <v>63.1</v>
      </c>
      <c r="G57" t="s">
        <v>26</v>
      </c>
    </row>
    <row r="58" spans="1:7">
      <c r="A58" t="s">
        <v>87</v>
      </c>
      <c r="B58" t="s">
        <v>24</v>
      </c>
      <c r="C58" s="14">
        <v>84.4</v>
      </c>
      <c r="D58" s="14">
        <v>85.3</v>
      </c>
      <c r="E58" s="14">
        <v>33.5</v>
      </c>
      <c r="F58" s="14">
        <v>100</v>
      </c>
      <c r="G58" t="s">
        <v>26</v>
      </c>
    </row>
    <row r="59" spans="1:7">
      <c r="A59" t="s">
        <v>88</v>
      </c>
      <c r="B59" t="s">
        <v>34</v>
      </c>
      <c r="C59" s="14">
        <v>96.5</v>
      </c>
      <c r="D59" s="14">
        <v>78.099999999999994</v>
      </c>
      <c r="E59" s="14">
        <v>70.3</v>
      </c>
      <c r="F59" s="14">
        <v>89.1</v>
      </c>
      <c r="G59" t="s">
        <v>26</v>
      </c>
    </row>
    <row r="60" spans="1:7">
      <c r="B60" t="s">
        <v>46</v>
      </c>
      <c r="C60" s="14">
        <v>90.7</v>
      </c>
      <c r="D60" s="14">
        <v>55</v>
      </c>
      <c r="E60" s="14">
        <v>89.8</v>
      </c>
      <c r="F60" s="14">
        <v>80.7</v>
      </c>
      <c r="G60" t="s">
        <v>26</v>
      </c>
    </row>
    <row r="61" spans="1:7">
      <c r="A61" t="s">
        <v>89</v>
      </c>
      <c r="B61" t="s">
        <v>21</v>
      </c>
      <c r="C61" s="14">
        <v>82.7</v>
      </c>
      <c r="D61" s="14">
        <v>63.9</v>
      </c>
      <c r="E61" s="14">
        <v>60.4</v>
      </c>
      <c r="F61" s="14">
        <v>87.6</v>
      </c>
      <c r="G61" t="s">
        <v>26</v>
      </c>
    </row>
    <row r="62" spans="1:7">
      <c r="A62" t="s">
        <v>90</v>
      </c>
      <c r="B62" t="s">
        <v>24</v>
      </c>
      <c r="C62" s="14">
        <v>76.599999999999994</v>
      </c>
      <c r="D62" s="14">
        <v>45.1</v>
      </c>
      <c r="E62" s="14">
        <v>67.900000000000006</v>
      </c>
      <c r="F62" s="14">
        <v>50.7</v>
      </c>
      <c r="G62" t="s">
        <v>22</v>
      </c>
    </row>
    <row r="63" spans="1:7">
      <c r="B63" t="s">
        <v>46</v>
      </c>
      <c r="C63" s="14">
        <v>87.6</v>
      </c>
      <c r="D63" s="14">
        <v>93.9</v>
      </c>
      <c r="E63" s="14">
        <v>58</v>
      </c>
      <c r="F63" s="14" t="s">
        <v>91</v>
      </c>
      <c r="G63" t="s">
        <v>26</v>
      </c>
    </row>
    <row r="64" spans="1:7">
      <c r="A64" t="s">
        <v>92</v>
      </c>
      <c r="B64" t="s">
        <v>24</v>
      </c>
      <c r="C64" s="14">
        <v>85.8</v>
      </c>
      <c r="D64" s="14">
        <v>87.9</v>
      </c>
      <c r="E64" s="14">
        <v>49.7</v>
      </c>
      <c r="F64" s="14">
        <v>40.799999999999997</v>
      </c>
      <c r="G64" t="s">
        <v>22</v>
      </c>
    </row>
    <row r="65" spans="1:7">
      <c r="A65" t="s">
        <v>93</v>
      </c>
      <c r="B65" t="s">
        <v>34</v>
      </c>
      <c r="C65" s="14">
        <v>84.6</v>
      </c>
      <c r="D65" s="14">
        <v>80.5</v>
      </c>
      <c r="E65" s="14">
        <v>32.9</v>
      </c>
      <c r="F65" s="14">
        <v>36.799999999999997</v>
      </c>
      <c r="G65" t="s">
        <v>22</v>
      </c>
    </row>
    <row r="66" spans="1:7">
      <c r="A66" t="s">
        <v>94</v>
      </c>
      <c r="B66" t="s">
        <v>46</v>
      </c>
      <c r="C66" s="14">
        <v>76</v>
      </c>
      <c r="D66" s="14">
        <v>82.2</v>
      </c>
      <c r="E66" s="14">
        <v>65.2</v>
      </c>
      <c r="F66" s="14">
        <v>75.2</v>
      </c>
      <c r="G66" t="s">
        <v>26</v>
      </c>
    </row>
    <row r="67" spans="1:7">
      <c r="A67" t="s">
        <v>95</v>
      </c>
      <c r="B67" t="s">
        <v>24</v>
      </c>
      <c r="C67" s="14">
        <v>96.6</v>
      </c>
      <c r="D67" s="14">
        <v>68.900000000000006</v>
      </c>
      <c r="E67" s="14">
        <v>45.6</v>
      </c>
      <c r="F67" s="14">
        <v>85</v>
      </c>
      <c r="G67" t="s">
        <v>74</v>
      </c>
    </row>
    <row r="68" spans="1:7">
      <c r="A68" t="s">
        <v>96</v>
      </c>
      <c r="B68" t="s">
        <v>28</v>
      </c>
      <c r="C68" s="14">
        <v>80.7</v>
      </c>
      <c r="D68" s="14">
        <v>99.4</v>
      </c>
      <c r="E68" s="14">
        <v>61.2</v>
      </c>
      <c r="F68" s="14">
        <v>58.2</v>
      </c>
      <c r="G68" t="s">
        <v>26</v>
      </c>
    </row>
    <row r="69" spans="1:7">
      <c r="A69" t="s">
        <v>97</v>
      </c>
      <c r="B69" t="s">
        <v>28</v>
      </c>
      <c r="C69" s="14">
        <v>86.4</v>
      </c>
      <c r="D69" s="14">
        <v>53.2</v>
      </c>
      <c r="E69" s="14">
        <v>65.900000000000006</v>
      </c>
      <c r="F69" s="14">
        <v>92.9</v>
      </c>
      <c r="G69" t="s">
        <v>26</v>
      </c>
    </row>
    <row r="70" spans="1:7">
      <c r="A70" t="s">
        <v>98</v>
      </c>
      <c r="B70" t="s">
        <v>28</v>
      </c>
      <c r="C70" s="14">
        <v>63.9</v>
      </c>
      <c r="D70" s="14">
        <v>100</v>
      </c>
      <c r="E70" s="14">
        <v>61.1</v>
      </c>
      <c r="F70" s="14">
        <v>65.599999999999994</v>
      </c>
      <c r="G70" t="s">
        <v>22</v>
      </c>
    </row>
    <row r="71" spans="1:7">
      <c r="A71" t="s">
        <v>99</v>
      </c>
      <c r="B71" t="s">
        <v>30</v>
      </c>
      <c r="C71" s="14">
        <v>86.7</v>
      </c>
      <c r="D71" s="14"/>
      <c r="E71" s="14">
        <v>86.4</v>
      </c>
      <c r="F71" s="14">
        <v>54.6</v>
      </c>
      <c r="G71" t="s">
        <v>26</v>
      </c>
    </row>
    <row r="72" spans="1:7">
      <c r="A72" t="s">
        <v>100</v>
      </c>
      <c r="B72" t="s">
        <v>24</v>
      </c>
      <c r="C72" s="14">
        <v>80.7</v>
      </c>
      <c r="D72" s="14">
        <v>100</v>
      </c>
      <c r="E72" s="14"/>
      <c r="F72" s="14">
        <v>72.3</v>
      </c>
      <c r="G72" t="s">
        <v>26</v>
      </c>
    </row>
    <row r="73" spans="1:7">
      <c r="A73" t="s">
        <v>101</v>
      </c>
      <c r="B73" t="s">
        <v>46</v>
      </c>
      <c r="C73" s="14">
        <v>91.1</v>
      </c>
      <c r="D73" s="14">
        <v>74.8</v>
      </c>
      <c r="E73" s="14">
        <v>65.8</v>
      </c>
      <c r="F73" s="14">
        <v>63.1</v>
      </c>
      <c r="G73" t="s">
        <v>26</v>
      </c>
    </row>
    <row r="74" spans="1:7">
      <c r="A74" t="s">
        <v>102</v>
      </c>
      <c r="C74" s="14">
        <v>88.7</v>
      </c>
      <c r="D74" s="14">
        <v>85.3</v>
      </c>
      <c r="E74" s="14">
        <v>100</v>
      </c>
      <c r="F74" s="14">
        <v>69.400000000000006</v>
      </c>
      <c r="G74" t="s">
        <v>26</v>
      </c>
    </row>
    <row r="75" spans="1:7">
      <c r="A75" t="s">
        <v>103</v>
      </c>
      <c r="B75" t="s">
        <v>34</v>
      </c>
      <c r="C75" s="14">
        <v>74.7</v>
      </c>
      <c r="D75" s="14">
        <v>51.5</v>
      </c>
      <c r="E75" s="14">
        <v>87.8</v>
      </c>
      <c r="F75" s="14">
        <v>111</v>
      </c>
      <c r="G75" t="s">
        <v>26</v>
      </c>
    </row>
    <row r="76" spans="1:7">
      <c r="A76" t="s">
        <v>104</v>
      </c>
      <c r="B76" t="s">
        <v>46</v>
      </c>
      <c r="C76" s="14"/>
      <c r="D76" s="14">
        <v>75.3</v>
      </c>
      <c r="E76" s="14" t="s">
        <v>352</v>
      </c>
      <c r="F76" s="14">
        <v>83.6</v>
      </c>
      <c r="G76" t="s">
        <v>26</v>
      </c>
    </row>
    <row r="77" spans="1:7">
      <c r="A77" t="s">
        <v>105</v>
      </c>
      <c r="B77" t="s">
        <v>30</v>
      </c>
      <c r="C77" s="14">
        <v>82.5</v>
      </c>
      <c r="D77" s="14">
        <v>60.3</v>
      </c>
      <c r="E77" s="14">
        <v>33.200000000000003</v>
      </c>
      <c r="F77" s="14">
        <v>85.2</v>
      </c>
      <c r="G77" t="s">
        <v>22</v>
      </c>
    </row>
    <row r="78" spans="1:7">
      <c r="A78" t="s">
        <v>106</v>
      </c>
      <c r="B78" t="s">
        <v>28</v>
      </c>
      <c r="C78" s="14">
        <v>91.5</v>
      </c>
      <c r="D78" s="14">
        <v>75.8</v>
      </c>
      <c r="E78" s="14">
        <v>86.3</v>
      </c>
      <c r="F78" s="14">
        <v>87.5</v>
      </c>
      <c r="G78" t="s">
        <v>26</v>
      </c>
    </row>
    <row r="79" spans="1:7">
      <c r="A79" t="s">
        <v>107</v>
      </c>
      <c r="B79" t="s">
        <v>24</v>
      </c>
      <c r="C79" s="14">
        <v>92.4</v>
      </c>
      <c r="D79" s="14">
        <v>69.099999999999994</v>
      </c>
      <c r="E79" s="14">
        <v>75.7</v>
      </c>
      <c r="F79" s="14">
        <v>36.700000000000003</v>
      </c>
      <c r="G79" t="s">
        <v>26</v>
      </c>
    </row>
    <row r="80" spans="1:7">
      <c r="A80" t="s">
        <v>108</v>
      </c>
      <c r="B80" t="s">
        <v>24</v>
      </c>
      <c r="C80" s="14">
        <v>78.8</v>
      </c>
      <c r="D80" s="14" t="s">
        <v>353</v>
      </c>
      <c r="E80" s="14">
        <v>76.8</v>
      </c>
      <c r="F80" s="14">
        <v>48.2</v>
      </c>
      <c r="G80" t="s">
        <v>26</v>
      </c>
    </row>
    <row r="81" spans="1:7">
      <c r="A81" t="s">
        <v>109</v>
      </c>
      <c r="B81" t="s">
        <v>28</v>
      </c>
      <c r="C81" s="14">
        <v>90.5</v>
      </c>
      <c r="D81" s="14"/>
      <c r="E81" s="14">
        <v>68.3</v>
      </c>
      <c r="F81" s="14">
        <v>71.2</v>
      </c>
      <c r="G81" t="s">
        <v>26</v>
      </c>
    </row>
    <row r="82" spans="1:7">
      <c r="A82" t="s">
        <v>110</v>
      </c>
      <c r="B82" t="s">
        <v>111</v>
      </c>
      <c r="C82" s="14">
        <v>88</v>
      </c>
      <c r="D82" s="14">
        <v>94.1</v>
      </c>
      <c r="E82" s="14">
        <v>62.6</v>
      </c>
      <c r="F82" s="14">
        <v>46.8</v>
      </c>
      <c r="G82" t="s">
        <v>26</v>
      </c>
    </row>
    <row r="83" spans="1:7">
      <c r="A83" t="s">
        <v>112</v>
      </c>
      <c r="B83" t="s">
        <v>30</v>
      </c>
      <c r="C83" s="14">
        <v>72.8</v>
      </c>
      <c r="D83" s="14">
        <v>81.3</v>
      </c>
      <c r="E83" s="14">
        <v>65.8</v>
      </c>
      <c r="F83" s="14">
        <v>31.9</v>
      </c>
      <c r="G83" t="s">
        <v>22</v>
      </c>
    </row>
    <row r="84" spans="1:7">
      <c r="A84" t="s">
        <v>113</v>
      </c>
      <c r="B84" t="s">
        <v>24</v>
      </c>
      <c r="C84" s="14">
        <v>90.8</v>
      </c>
      <c r="D84" s="14">
        <v>72.7</v>
      </c>
      <c r="E84" s="14">
        <v>65.099999999999994</v>
      </c>
      <c r="F84" s="14">
        <v>99</v>
      </c>
      <c r="G84" t="s">
        <v>26</v>
      </c>
    </row>
    <row r="85" spans="1:7">
      <c r="A85" t="s">
        <v>114</v>
      </c>
      <c r="B85" t="s">
        <v>46</v>
      </c>
      <c r="C85" s="14"/>
      <c r="D85" s="14">
        <v>67.3</v>
      </c>
      <c r="E85" s="14">
        <v>58.2</v>
      </c>
      <c r="F85" s="14">
        <v>33.700000000000003</v>
      </c>
      <c r="G85" t="s">
        <v>22</v>
      </c>
    </row>
    <row r="86" spans="1:7">
      <c r="A86" t="s">
        <v>115</v>
      </c>
      <c r="B86" t="s">
        <v>24</v>
      </c>
      <c r="C86" s="14">
        <v>67</v>
      </c>
      <c r="D86" s="14">
        <v>87.7</v>
      </c>
      <c r="E86" s="14">
        <v>76.900000000000006</v>
      </c>
      <c r="F86" s="14">
        <v>74.599999999999994</v>
      </c>
      <c r="G86" t="s">
        <v>22</v>
      </c>
    </row>
    <row r="87" spans="1:7">
      <c r="A87" t="s">
        <v>116</v>
      </c>
      <c r="B87" t="s">
        <v>24</v>
      </c>
      <c r="C87" s="14">
        <v>78.3</v>
      </c>
      <c r="D87" s="14">
        <v>86.8</v>
      </c>
      <c r="E87" s="14">
        <v>53.4</v>
      </c>
      <c r="F87" s="14">
        <v>68.5</v>
      </c>
    </row>
    <row r="88" spans="1:7">
      <c r="A88" t="s">
        <v>117</v>
      </c>
      <c r="C88" s="14">
        <v>83.8</v>
      </c>
      <c r="D88" s="14">
        <v>72.900000000000006</v>
      </c>
      <c r="E88" s="14">
        <v>80.900000000000006</v>
      </c>
      <c r="F88" s="14">
        <v>66.5</v>
      </c>
      <c r="G88" t="s">
        <v>26</v>
      </c>
    </row>
    <row r="89" spans="1:7">
      <c r="A89" t="s">
        <v>118</v>
      </c>
      <c r="B89" t="s">
        <v>24</v>
      </c>
      <c r="C89" s="14">
        <v>65.400000000000006</v>
      </c>
      <c r="D89" s="14">
        <v>51.2</v>
      </c>
      <c r="E89" s="14">
        <v>59.2</v>
      </c>
      <c r="F89" s="14">
        <v>76.599999999999994</v>
      </c>
      <c r="G89" t="s">
        <v>22</v>
      </c>
    </row>
    <row r="90" spans="1:7">
      <c r="B90" t="s">
        <v>30</v>
      </c>
      <c r="C90" s="14">
        <v>70.099999999999994</v>
      </c>
      <c r="D90" s="14">
        <v>75.900000000000006</v>
      </c>
      <c r="E90" s="14">
        <v>76.2</v>
      </c>
      <c r="F90" s="14">
        <v>55.4</v>
      </c>
      <c r="G90" t="s">
        <v>26</v>
      </c>
    </row>
    <row r="91" spans="1:7">
      <c r="A91" t="s">
        <v>119</v>
      </c>
      <c r="B91" t="s">
        <v>21</v>
      </c>
      <c r="C91" s="14">
        <v>57.3</v>
      </c>
      <c r="D91" s="14">
        <v>84.6</v>
      </c>
      <c r="E91" s="14">
        <v>69.7</v>
      </c>
      <c r="F91" s="14">
        <v>49.2</v>
      </c>
      <c r="G91" t="s">
        <v>22</v>
      </c>
    </row>
    <row r="92" spans="1:7">
      <c r="A92" t="s">
        <v>120</v>
      </c>
      <c r="B92" t="s">
        <v>28</v>
      </c>
      <c r="C92" s="14">
        <v>68.599999999999994</v>
      </c>
      <c r="D92" s="14">
        <v>41.9</v>
      </c>
      <c r="E92" s="14">
        <v>79.3</v>
      </c>
      <c r="F92" s="14">
        <v>52.2</v>
      </c>
    </row>
    <row r="93" spans="1:7">
      <c r="A93" t="s">
        <v>121</v>
      </c>
      <c r="B93" t="s">
        <v>34</v>
      </c>
      <c r="C93" s="14">
        <v>59</v>
      </c>
      <c r="D93" s="14">
        <v>60.4</v>
      </c>
      <c r="E93" s="14">
        <v>77</v>
      </c>
      <c r="F93" s="14" t="s">
        <v>353</v>
      </c>
      <c r="G93" t="s">
        <v>22</v>
      </c>
    </row>
    <row r="94" spans="1:7">
      <c r="A94" t="s">
        <v>122</v>
      </c>
      <c r="B94" t="s">
        <v>39</v>
      </c>
      <c r="C94" s="14"/>
      <c r="D94" s="14">
        <v>58.7</v>
      </c>
      <c r="E94" s="14">
        <v>67.2</v>
      </c>
      <c r="F94" s="14">
        <v>76.5</v>
      </c>
      <c r="G94" t="s">
        <v>26</v>
      </c>
    </row>
    <row r="95" spans="1:7">
      <c r="A95" t="s">
        <v>123</v>
      </c>
      <c r="B95" t="s">
        <v>24</v>
      </c>
      <c r="C95" s="14">
        <v>87.1</v>
      </c>
      <c r="D95" s="14">
        <v>77.400000000000006</v>
      </c>
      <c r="E95" s="14">
        <v>71.3</v>
      </c>
      <c r="F95" s="14">
        <v>42.3</v>
      </c>
      <c r="G95" t="s">
        <v>26</v>
      </c>
    </row>
    <row r="96" spans="1:7">
      <c r="A96" t="s">
        <v>124</v>
      </c>
      <c r="B96" t="s">
        <v>34</v>
      </c>
      <c r="C96" s="14">
        <v>88.4</v>
      </c>
      <c r="D96" s="14">
        <v>41</v>
      </c>
      <c r="E96" s="14">
        <v>63</v>
      </c>
      <c r="F96" s="14">
        <v>60.2</v>
      </c>
      <c r="G96" t="s">
        <v>22</v>
      </c>
    </row>
    <row r="97" spans="1:7">
      <c r="A97" t="s">
        <v>125</v>
      </c>
      <c r="B97" t="s">
        <v>46</v>
      </c>
      <c r="C97" s="14">
        <v>72.099999999999994</v>
      </c>
      <c r="D97" s="14">
        <v>61.7</v>
      </c>
      <c r="E97" s="14"/>
      <c r="F97" s="14">
        <v>59.5</v>
      </c>
      <c r="G97" t="s">
        <v>26</v>
      </c>
    </row>
    <row r="98" spans="1:7">
      <c r="A98" t="s">
        <v>126</v>
      </c>
      <c r="B98" t="s">
        <v>30</v>
      </c>
      <c r="C98" s="14">
        <v>84.1</v>
      </c>
      <c r="D98" s="14">
        <v>79.599999999999994</v>
      </c>
      <c r="E98" s="14">
        <v>71.900000000000006</v>
      </c>
      <c r="F98" s="14">
        <v>83.4</v>
      </c>
    </row>
    <row r="99" spans="1:7">
      <c r="A99" t="s">
        <v>127</v>
      </c>
      <c r="B99" t="s">
        <v>24</v>
      </c>
      <c r="C99" s="14">
        <v>70.900000000000006</v>
      </c>
      <c r="D99" s="14">
        <v>76.099999999999994</v>
      </c>
      <c r="E99" s="14">
        <v>62.4</v>
      </c>
      <c r="F99" s="14">
        <v>92.1</v>
      </c>
      <c r="G99" t="s">
        <v>26</v>
      </c>
    </row>
    <row r="100" spans="1:7">
      <c r="A100" t="s">
        <v>128</v>
      </c>
      <c r="B100" t="s">
        <v>28</v>
      </c>
      <c r="C100" s="14">
        <v>99.9</v>
      </c>
      <c r="D100" s="14">
        <v>70.900000000000006</v>
      </c>
      <c r="E100" s="14">
        <v>85.9</v>
      </c>
      <c r="F100" s="14">
        <v>54.9</v>
      </c>
      <c r="G100" t="s">
        <v>26</v>
      </c>
    </row>
    <row r="101" spans="1:7">
      <c r="A101" t="s">
        <v>129</v>
      </c>
      <c r="B101" t="s">
        <v>34</v>
      </c>
      <c r="C101" s="14">
        <v>95.3</v>
      </c>
      <c r="D101" s="14">
        <v>70.3</v>
      </c>
      <c r="E101" s="14">
        <v>50.1</v>
      </c>
      <c r="F101" s="14">
        <v>61</v>
      </c>
      <c r="G101" t="s">
        <v>26</v>
      </c>
    </row>
    <row r="102" spans="1:7">
      <c r="A102" t="s">
        <v>130</v>
      </c>
      <c r="B102" t="s">
        <v>34</v>
      </c>
      <c r="C102" s="14">
        <v>81.900000000000006</v>
      </c>
      <c r="D102" s="14">
        <v>67.3</v>
      </c>
      <c r="E102" s="14">
        <v>78.3</v>
      </c>
      <c r="F102" s="14">
        <v>62</v>
      </c>
    </row>
    <row r="103" spans="1:7">
      <c r="A103" t="s">
        <v>131</v>
      </c>
      <c r="B103" t="s">
        <v>28</v>
      </c>
      <c r="C103" s="14">
        <v>70</v>
      </c>
      <c r="D103" s="14">
        <v>53.4</v>
      </c>
      <c r="E103" s="14">
        <v>85.6</v>
      </c>
      <c r="F103" s="14">
        <v>59.1</v>
      </c>
      <c r="G103" t="s">
        <v>26</v>
      </c>
    </row>
    <row r="104" spans="1:7">
      <c r="A104" t="s">
        <v>132</v>
      </c>
      <c r="B104" t="s">
        <v>24</v>
      </c>
      <c r="C104" s="14">
        <v>100</v>
      </c>
      <c r="D104" s="14">
        <v>79.7</v>
      </c>
      <c r="E104" s="14">
        <v>75.400000000000006</v>
      </c>
      <c r="F104" s="14">
        <v>95.3</v>
      </c>
      <c r="G104" t="s">
        <v>26</v>
      </c>
    </row>
    <row r="105" spans="1:7">
      <c r="A105" t="s">
        <v>133</v>
      </c>
      <c r="B105" t="s">
        <v>21</v>
      </c>
      <c r="C105" s="14">
        <v>92.4</v>
      </c>
      <c r="D105" s="14">
        <v>50.8</v>
      </c>
      <c r="E105" s="14">
        <v>45.7</v>
      </c>
      <c r="F105" s="14">
        <v>77.2</v>
      </c>
      <c r="G105" t="s">
        <v>22</v>
      </c>
    </row>
    <row r="106" spans="1:7">
      <c r="A106" t="s">
        <v>134</v>
      </c>
      <c r="B106" t="s">
        <v>34</v>
      </c>
      <c r="C106" s="14">
        <v>76.099999999999994</v>
      </c>
      <c r="D106" s="14">
        <v>77.5</v>
      </c>
      <c r="E106" s="14">
        <v>56.8</v>
      </c>
      <c r="F106" s="14">
        <v>100</v>
      </c>
      <c r="G106" t="s">
        <v>26</v>
      </c>
    </row>
    <row r="107" spans="1:7">
      <c r="A107" t="s">
        <v>135</v>
      </c>
      <c r="B107" t="s">
        <v>28</v>
      </c>
      <c r="C107" s="14">
        <v>83.7</v>
      </c>
      <c r="D107" s="14">
        <v>71.400000000000006</v>
      </c>
      <c r="E107" s="14">
        <v>93.6</v>
      </c>
      <c r="F107" s="14">
        <v>86.1</v>
      </c>
      <c r="G107" t="s">
        <v>26</v>
      </c>
    </row>
    <row r="108" spans="1:7">
      <c r="A108" t="s">
        <v>136</v>
      </c>
      <c r="B108" t="s">
        <v>34</v>
      </c>
      <c r="C108" s="14">
        <v>87.2</v>
      </c>
      <c r="D108" s="14">
        <v>68</v>
      </c>
      <c r="E108" s="14">
        <v>88.8</v>
      </c>
      <c r="F108" s="14"/>
      <c r="G108" t="s">
        <v>26</v>
      </c>
    </row>
    <row r="109" spans="1:7">
      <c r="A109" t="s">
        <v>137</v>
      </c>
      <c r="B109" t="s">
        <v>30</v>
      </c>
      <c r="C109" s="14">
        <v>45.5</v>
      </c>
      <c r="D109" s="14">
        <v>52.9</v>
      </c>
      <c r="E109" s="14">
        <v>47.8</v>
      </c>
      <c r="F109" s="14">
        <v>45.5</v>
      </c>
      <c r="G109" t="s">
        <v>22</v>
      </c>
    </row>
    <row r="110" spans="1:7">
      <c r="B110" t="s">
        <v>30</v>
      </c>
      <c r="C110" s="14">
        <v>69.2</v>
      </c>
      <c r="D110" s="14">
        <v>64.3</v>
      </c>
      <c r="E110" s="14">
        <v>66.099999999999994</v>
      </c>
      <c r="F110" s="14">
        <v>93.6</v>
      </c>
      <c r="G110" t="s">
        <v>22</v>
      </c>
    </row>
    <row r="111" spans="1:7">
      <c r="A111" t="s">
        <v>138</v>
      </c>
      <c r="B111" t="s">
        <v>46</v>
      </c>
      <c r="C111" s="14">
        <v>85.5</v>
      </c>
      <c r="D111" s="14">
        <v>64.599999999999994</v>
      </c>
      <c r="E111" s="14">
        <v>29.6</v>
      </c>
      <c r="F111" s="14">
        <v>89.8</v>
      </c>
      <c r="G111" t="s">
        <v>26</v>
      </c>
    </row>
    <row r="112" spans="1:7">
      <c r="A112" t="s">
        <v>139</v>
      </c>
      <c r="B112" t="s">
        <v>21</v>
      </c>
      <c r="C112" s="14">
        <v>74.2</v>
      </c>
      <c r="D112" s="14">
        <v>71.400000000000006</v>
      </c>
      <c r="E112" s="14">
        <v>95.9</v>
      </c>
      <c r="F112" s="14">
        <v>80.400000000000006</v>
      </c>
      <c r="G112" t="s">
        <v>26</v>
      </c>
    </row>
    <row r="113" spans="1:7">
      <c r="A113" t="s">
        <v>140</v>
      </c>
      <c r="B113" t="s">
        <v>28</v>
      </c>
      <c r="C113" s="14">
        <v>68.900000000000006</v>
      </c>
      <c r="D113" s="14">
        <v>60.9</v>
      </c>
      <c r="E113" s="14"/>
      <c r="F113" s="14">
        <v>77.2</v>
      </c>
      <c r="G113" t="s">
        <v>22</v>
      </c>
    </row>
    <row r="114" spans="1:7">
      <c r="A114" t="s">
        <v>141</v>
      </c>
      <c r="B114" t="s">
        <v>28</v>
      </c>
      <c r="C114" s="14">
        <v>98.3</v>
      </c>
      <c r="D114" s="14">
        <v>92.3</v>
      </c>
      <c r="E114" s="14">
        <v>59.5</v>
      </c>
      <c r="F114" s="14">
        <v>69.8</v>
      </c>
      <c r="G114" t="s">
        <v>26</v>
      </c>
    </row>
    <row r="115" spans="1:7">
      <c r="A115" t="s">
        <v>142</v>
      </c>
      <c r="B115" t="s">
        <v>24</v>
      </c>
      <c r="C115" s="14">
        <v>71.8</v>
      </c>
      <c r="D115" s="14">
        <v>64.599999999999994</v>
      </c>
      <c r="E115" s="14">
        <v>86</v>
      </c>
      <c r="F115" s="14">
        <v>71.3</v>
      </c>
      <c r="G115" t="s">
        <v>26</v>
      </c>
    </row>
    <row r="116" spans="1:7">
      <c r="A116" t="s">
        <v>143</v>
      </c>
      <c r="B116" t="s">
        <v>21</v>
      </c>
      <c r="C116" s="14">
        <v>74.900000000000006</v>
      </c>
      <c r="D116" s="14">
        <v>55.3</v>
      </c>
      <c r="E116" s="14">
        <v>89.7</v>
      </c>
      <c r="F116" s="14">
        <v>114</v>
      </c>
      <c r="G116" t="s">
        <v>26</v>
      </c>
    </row>
    <row r="117" spans="1:7">
      <c r="A117" t="s">
        <v>144</v>
      </c>
      <c r="B117" t="s">
        <v>21</v>
      </c>
      <c r="C117" s="14"/>
      <c r="D117" s="14">
        <v>62.5</v>
      </c>
      <c r="E117" s="14">
        <v>69.7</v>
      </c>
      <c r="F117" s="14">
        <v>80.400000000000006</v>
      </c>
      <c r="G117" t="s">
        <v>26</v>
      </c>
    </row>
    <row r="118" spans="1:7">
      <c r="A118" t="s">
        <v>145</v>
      </c>
      <c r="B118" t="s">
        <v>30</v>
      </c>
      <c r="C118" s="14">
        <v>88.9</v>
      </c>
      <c r="D118" s="14">
        <v>68.900000000000006</v>
      </c>
      <c r="E118" s="14">
        <v>58.3</v>
      </c>
      <c r="F118" s="14">
        <v>74.400000000000006</v>
      </c>
      <c r="G118" t="s">
        <v>26</v>
      </c>
    </row>
    <row r="119" spans="1:7">
      <c r="A119" t="s">
        <v>146</v>
      </c>
      <c r="B119" t="s">
        <v>24</v>
      </c>
      <c r="C119" s="14">
        <v>60.5</v>
      </c>
      <c r="D119" s="14"/>
      <c r="E119" s="14">
        <v>78.099999999999994</v>
      </c>
      <c r="F119" s="14">
        <v>75.3</v>
      </c>
      <c r="G119" t="s">
        <v>22</v>
      </c>
    </row>
    <row r="120" spans="1:7">
      <c r="A120" t="s">
        <v>147</v>
      </c>
      <c r="B120" t="s">
        <v>34</v>
      </c>
      <c r="C120" s="14">
        <v>89.6</v>
      </c>
      <c r="D120" s="14">
        <v>53.1</v>
      </c>
      <c r="E120" s="14">
        <v>51</v>
      </c>
      <c r="F120" s="14"/>
      <c r="G120" t="s">
        <v>26</v>
      </c>
    </row>
    <row r="121" spans="1:7">
      <c r="A121" t="s">
        <v>148</v>
      </c>
      <c r="B121" t="s">
        <v>46</v>
      </c>
      <c r="C121" s="14">
        <v>73.7</v>
      </c>
      <c r="D121" s="14">
        <v>76.900000000000006</v>
      </c>
      <c r="E121" s="14">
        <v>100</v>
      </c>
      <c r="F121" s="14">
        <v>56.2</v>
      </c>
      <c r="G121" t="s">
        <v>26</v>
      </c>
    </row>
    <row r="122" spans="1:7">
      <c r="A122" t="s">
        <v>149</v>
      </c>
      <c r="B122" t="s">
        <v>24</v>
      </c>
      <c r="C122" s="14">
        <v>91.7</v>
      </c>
      <c r="D122" s="14">
        <v>63.1</v>
      </c>
      <c r="E122" s="14">
        <v>58.1</v>
      </c>
      <c r="F122" s="14">
        <v>87.1</v>
      </c>
      <c r="G122" t="s">
        <v>26</v>
      </c>
    </row>
    <row r="123" spans="1:7">
      <c r="A123" t="s">
        <v>150</v>
      </c>
      <c r="B123" t="s">
        <v>21</v>
      </c>
      <c r="C123" s="14">
        <v>76.5</v>
      </c>
      <c r="D123" s="14">
        <v>63.4</v>
      </c>
      <c r="E123" s="14">
        <v>40.4</v>
      </c>
      <c r="F123" s="14">
        <v>51.8</v>
      </c>
      <c r="G123" t="s">
        <v>22</v>
      </c>
    </row>
    <row r="124" spans="1:7">
      <c r="A124" t="s">
        <v>151</v>
      </c>
      <c r="B124" t="s">
        <v>30</v>
      </c>
      <c r="C124" s="14">
        <v>69.400000000000006</v>
      </c>
      <c r="D124" s="14">
        <v>38.5</v>
      </c>
      <c r="E124" s="14">
        <v>70.8</v>
      </c>
      <c r="F124" s="14">
        <v>74.7</v>
      </c>
      <c r="G124" t="s">
        <v>22</v>
      </c>
    </row>
    <row r="125" spans="1:7">
      <c r="A125" t="s">
        <v>152</v>
      </c>
      <c r="C125" s="14">
        <v>99.4</v>
      </c>
      <c r="D125" s="14">
        <v>76.7</v>
      </c>
      <c r="E125" s="14">
        <v>83.2</v>
      </c>
      <c r="F125" s="14">
        <v>100</v>
      </c>
      <c r="G125" t="s">
        <v>26</v>
      </c>
    </row>
    <row r="126" spans="1:7">
      <c r="B126" t="s">
        <v>28</v>
      </c>
      <c r="C126" s="14">
        <v>79.099999999999994</v>
      </c>
      <c r="D126" s="14">
        <v>55.9</v>
      </c>
      <c r="E126" s="14">
        <v>71.3</v>
      </c>
      <c r="F126" s="14">
        <v>85.2</v>
      </c>
      <c r="G126" t="s">
        <v>26</v>
      </c>
    </row>
    <row r="127" spans="1:7">
      <c r="A127" t="s">
        <v>153</v>
      </c>
      <c r="B127" t="s">
        <v>34</v>
      </c>
      <c r="C127" s="14">
        <v>96.8</v>
      </c>
      <c r="D127" s="14">
        <v>74.2</v>
      </c>
      <c r="E127" s="14">
        <v>65.400000000000006</v>
      </c>
      <c r="F127" s="14">
        <v>54.4</v>
      </c>
      <c r="G127" t="s">
        <v>26</v>
      </c>
    </row>
    <row r="128" spans="1:7">
      <c r="A128" t="s">
        <v>154</v>
      </c>
      <c r="B128" t="s">
        <v>34</v>
      </c>
      <c r="C128" s="14">
        <v>65.2</v>
      </c>
      <c r="D128" s="14" t="s">
        <v>91</v>
      </c>
      <c r="E128" s="14">
        <v>58</v>
      </c>
      <c r="F128" s="14">
        <v>91</v>
      </c>
      <c r="G128" t="s">
        <v>22</v>
      </c>
    </row>
    <row r="129" spans="1:7">
      <c r="A129" t="s">
        <v>155</v>
      </c>
      <c r="B129" t="s">
        <v>34</v>
      </c>
      <c r="C129" s="14">
        <v>82.7</v>
      </c>
      <c r="D129" s="14"/>
      <c r="E129" s="14">
        <v>76.8</v>
      </c>
      <c r="F129" s="14">
        <v>74.5</v>
      </c>
      <c r="G129" t="s">
        <v>26</v>
      </c>
    </row>
    <row r="130" spans="1:7">
      <c r="A130" t="s">
        <v>156</v>
      </c>
      <c r="B130" t="s">
        <v>34</v>
      </c>
      <c r="C130" s="14">
        <v>66.3</v>
      </c>
      <c r="D130" s="14">
        <v>80.099999999999994</v>
      </c>
      <c r="E130" s="14">
        <v>72.8</v>
      </c>
      <c r="F130" s="14"/>
      <c r="G130" t="s">
        <v>22</v>
      </c>
    </row>
    <row r="131" spans="1:7">
      <c r="A131" t="s">
        <v>157</v>
      </c>
      <c r="B131" t="s">
        <v>30</v>
      </c>
      <c r="C131" s="14">
        <v>81.400000000000006</v>
      </c>
      <c r="D131" s="14">
        <v>46.5</v>
      </c>
      <c r="E131" s="14">
        <v>43.4</v>
      </c>
      <c r="F131" s="14">
        <v>62.6</v>
      </c>
      <c r="G131" t="s">
        <v>22</v>
      </c>
    </row>
    <row r="132" spans="1:7">
      <c r="A132" t="s">
        <v>158</v>
      </c>
      <c r="B132" t="s">
        <v>30</v>
      </c>
      <c r="C132" s="14">
        <v>88.6</v>
      </c>
      <c r="D132" s="14">
        <v>77.400000000000006</v>
      </c>
      <c r="E132" s="14">
        <v>54.8</v>
      </c>
      <c r="F132" s="14">
        <v>50.6</v>
      </c>
      <c r="G132" t="s">
        <v>26</v>
      </c>
    </row>
    <row r="133" spans="1:7">
      <c r="A133" t="s">
        <v>159</v>
      </c>
      <c r="B133" t="s">
        <v>21</v>
      </c>
      <c r="C133" s="14">
        <v>41.3</v>
      </c>
      <c r="D133" s="14">
        <v>80</v>
      </c>
      <c r="E133" s="14">
        <v>64.099999999999994</v>
      </c>
      <c r="F133" s="14">
        <v>68.5</v>
      </c>
      <c r="G133" t="s">
        <v>22</v>
      </c>
    </row>
    <row r="134" spans="1:7">
      <c r="A134" t="s">
        <v>160</v>
      </c>
      <c r="B134" t="s">
        <v>34</v>
      </c>
      <c r="C134" s="14">
        <v>85.4</v>
      </c>
      <c r="D134" s="14">
        <v>61.4</v>
      </c>
      <c r="E134" s="14">
        <v>77.900000000000006</v>
      </c>
      <c r="F134" s="14">
        <v>76</v>
      </c>
      <c r="G134" t="s">
        <v>26</v>
      </c>
    </row>
    <row r="135" spans="1:7">
      <c r="A135" t="s">
        <v>161</v>
      </c>
      <c r="B135" t="s">
        <v>24</v>
      </c>
      <c r="C135" s="14"/>
      <c r="D135" s="14">
        <v>64.7</v>
      </c>
      <c r="E135" s="14">
        <v>69.5</v>
      </c>
      <c r="F135" s="14">
        <v>69.3</v>
      </c>
      <c r="G135" t="s">
        <v>26</v>
      </c>
    </row>
    <row r="136" spans="1:7">
      <c r="B136" t="s">
        <v>24</v>
      </c>
      <c r="C136" s="14">
        <v>66.8</v>
      </c>
      <c r="D136" s="14">
        <v>79.900000000000006</v>
      </c>
      <c r="E136" s="14">
        <v>39.6</v>
      </c>
      <c r="F136" s="14">
        <v>37.6</v>
      </c>
      <c r="G136" t="s">
        <v>22</v>
      </c>
    </row>
    <row r="137" spans="1:7">
      <c r="A137" t="s">
        <v>162</v>
      </c>
      <c r="B137" t="s">
        <v>24</v>
      </c>
      <c r="C137" s="14">
        <v>97.2</v>
      </c>
      <c r="D137" s="14">
        <v>91.4</v>
      </c>
      <c r="E137" s="14">
        <v>64.7</v>
      </c>
      <c r="F137" s="14">
        <v>60</v>
      </c>
      <c r="G137" t="s">
        <v>26</v>
      </c>
    </row>
    <row r="138" spans="1:7">
      <c r="A138" t="s">
        <v>163</v>
      </c>
      <c r="B138" t="s">
        <v>24</v>
      </c>
      <c r="C138" s="14">
        <v>100</v>
      </c>
      <c r="D138" s="14">
        <v>83.4</v>
      </c>
      <c r="E138" s="14">
        <v>78.5</v>
      </c>
      <c r="F138" s="14">
        <v>77.400000000000006</v>
      </c>
      <c r="G138" t="s">
        <v>26</v>
      </c>
    </row>
    <row r="139" spans="1:7">
      <c r="A139" t="s">
        <v>164</v>
      </c>
      <c r="B139" t="s">
        <v>24</v>
      </c>
      <c r="C139" s="14">
        <v>78</v>
      </c>
      <c r="D139" s="14">
        <v>54.4</v>
      </c>
      <c r="E139" s="14">
        <v>56.4</v>
      </c>
      <c r="F139" s="14">
        <v>82.6</v>
      </c>
      <c r="G139" t="s">
        <v>26</v>
      </c>
    </row>
    <row r="140" spans="1:7">
      <c r="A140" t="s">
        <v>165</v>
      </c>
      <c r="C140" s="14">
        <v>92.2</v>
      </c>
      <c r="D140" s="14">
        <v>79.7</v>
      </c>
      <c r="E140" s="14">
        <v>62</v>
      </c>
      <c r="F140" s="14">
        <v>60.3</v>
      </c>
      <c r="G140" t="s">
        <v>26</v>
      </c>
    </row>
    <row r="141" spans="1:7">
      <c r="A141" t="s">
        <v>166</v>
      </c>
      <c r="B141" t="s">
        <v>28</v>
      </c>
      <c r="C141" s="14">
        <v>86</v>
      </c>
      <c r="D141" s="14">
        <v>57.7</v>
      </c>
      <c r="E141" s="14">
        <v>59.3</v>
      </c>
      <c r="F141" s="14">
        <v>87.8</v>
      </c>
      <c r="G141" t="s">
        <v>26</v>
      </c>
    </row>
    <row r="142" spans="1:7">
      <c r="A142" t="s">
        <v>167</v>
      </c>
      <c r="B142" t="s">
        <v>352</v>
      </c>
      <c r="C142" s="14">
        <v>100</v>
      </c>
      <c r="D142" s="14">
        <v>67.400000000000006</v>
      </c>
      <c r="E142" s="14">
        <v>80</v>
      </c>
      <c r="F142" s="14">
        <v>89.4</v>
      </c>
      <c r="G142" t="s">
        <v>26</v>
      </c>
    </row>
    <row r="143" spans="1:7">
      <c r="A143" t="s">
        <v>95</v>
      </c>
      <c r="B143" t="s">
        <v>24</v>
      </c>
      <c r="C143" s="14">
        <v>96.6</v>
      </c>
      <c r="D143" s="14"/>
      <c r="E143" s="14">
        <v>45.6</v>
      </c>
      <c r="F143" s="14">
        <v>85</v>
      </c>
      <c r="G143" t="s">
        <v>26</v>
      </c>
    </row>
    <row r="144" spans="1:7">
      <c r="A144" t="s">
        <v>168</v>
      </c>
      <c r="B144" t="s">
        <v>28</v>
      </c>
      <c r="C144" s="14">
        <v>98.5</v>
      </c>
      <c r="D144" s="14">
        <v>60.9</v>
      </c>
      <c r="E144" s="14">
        <v>83.8</v>
      </c>
      <c r="F144" s="14">
        <v>94.9</v>
      </c>
      <c r="G144" t="s">
        <v>26</v>
      </c>
    </row>
    <row r="145" spans="1:7">
      <c r="A145" t="s">
        <v>169</v>
      </c>
      <c r="B145" t="s">
        <v>30</v>
      </c>
      <c r="C145" s="14">
        <v>83.4</v>
      </c>
      <c r="D145" s="14">
        <v>81.400000000000006</v>
      </c>
      <c r="E145" s="14">
        <v>71.5</v>
      </c>
      <c r="F145" s="14">
        <v>59.3</v>
      </c>
    </row>
    <row r="146" spans="1:7">
      <c r="A146" t="s">
        <v>170</v>
      </c>
      <c r="C146" s="14">
        <v>93.2</v>
      </c>
      <c r="D146" s="14">
        <v>70.8</v>
      </c>
      <c r="E146" s="14">
        <v>49.3</v>
      </c>
      <c r="F146" s="14">
        <v>45.8</v>
      </c>
      <c r="G146" t="s">
        <v>22</v>
      </c>
    </row>
    <row r="147" spans="1:7">
      <c r="A147" t="s">
        <v>171</v>
      </c>
      <c r="B147" t="s">
        <v>24</v>
      </c>
      <c r="C147" s="14">
        <v>65</v>
      </c>
      <c r="D147" s="14">
        <v>84.9</v>
      </c>
      <c r="E147" s="14">
        <v>87.5</v>
      </c>
      <c r="F147" s="14">
        <v>89.8</v>
      </c>
      <c r="G147" t="s">
        <v>22</v>
      </c>
    </row>
    <row r="148" spans="1:7">
      <c r="A148" t="s">
        <v>172</v>
      </c>
      <c r="B148" t="s">
        <v>28</v>
      </c>
      <c r="C148" s="14">
        <v>100</v>
      </c>
      <c r="D148" s="14">
        <v>64.099999999999994</v>
      </c>
      <c r="E148" s="14">
        <v>76.599999999999994</v>
      </c>
      <c r="F148" s="14">
        <v>68.599999999999994</v>
      </c>
      <c r="G148" t="s">
        <v>26</v>
      </c>
    </row>
    <row r="149" spans="1:7">
      <c r="A149" t="s">
        <v>173</v>
      </c>
      <c r="B149" t="s">
        <v>21</v>
      </c>
      <c r="C149" s="14">
        <v>94</v>
      </c>
      <c r="D149" s="14">
        <v>85.7</v>
      </c>
      <c r="E149" s="14">
        <v>73</v>
      </c>
      <c r="F149" s="14">
        <v>83.7</v>
      </c>
      <c r="G149" t="s">
        <v>26</v>
      </c>
    </row>
    <row r="150" spans="1:7">
      <c r="A150" t="s">
        <v>174</v>
      </c>
      <c r="B150" t="s">
        <v>34</v>
      </c>
      <c r="C150" s="14"/>
      <c r="D150" s="14">
        <v>82.8</v>
      </c>
      <c r="E150" s="14">
        <v>52.4</v>
      </c>
      <c r="F150" s="14">
        <v>80.3</v>
      </c>
      <c r="G150" t="s">
        <v>26</v>
      </c>
    </row>
    <row r="151" spans="1:7">
      <c r="A151" t="s">
        <v>29</v>
      </c>
      <c r="B151" t="s">
        <v>30</v>
      </c>
      <c r="C151" s="14">
        <v>87.6</v>
      </c>
      <c r="D151" s="14">
        <v>91.8</v>
      </c>
      <c r="E151" s="14">
        <v>64</v>
      </c>
      <c r="F151" s="14">
        <v>84.7</v>
      </c>
      <c r="G151" t="s">
        <v>26</v>
      </c>
    </row>
    <row r="152" spans="1:7">
      <c r="A152" t="s">
        <v>175</v>
      </c>
      <c r="B152" t="s">
        <v>30</v>
      </c>
      <c r="C152" s="14">
        <v>75.400000000000006</v>
      </c>
      <c r="D152" s="14">
        <v>58.6</v>
      </c>
      <c r="E152" s="14">
        <v>92.1</v>
      </c>
      <c r="F152" s="14">
        <v>74.2</v>
      </c>
      <c r="G152" t="s">
        <v>26</v>
      </c>
    </row>
    <row r="153" spans="1:7">
      <c r="A153" t="s">
        <v>176</v>
      </c>
      <c r="B153" t="s">
        <v>30</v>
      </c>
      <c r="C153" s="14">
        <v>74.900000000000006</v>
      </c>
      <c r="D153" s="14">
        <v>85.2</v>
      </c>
      <c r="E153" s="14"/>
      <c r="F153" s="14">
        <v>64.099999999999994</v>
      </c>
      <c r="G153" t="s">
        <v>26</v>
      </c>
    </row>
    <row r="154" spans="1:7">
      <c r="A154" t="s">
        <v>177</v>
      </c>
      <c r="B154" t="s">
        <v>30</v>
      </c>
      <c r="C154" s="14">
        <v>61.5</v>
      </c>
      <c r="D154" s="14">
        <v>75.7</v>
      </c>
      <c r="E154" s="14">
        <v>53.3</v>
      </c>
      <c r="F154" s="14">
        <v>72</v>
      </c>
      <c r="G154" t="s">
        <v>22</v>
      </c>
    </row>
    <row r="155" spans="1:7">
      <c r="B155" t="s">
        <v>46</v>
      </c>
      <c r="C155" s="14">
        <v>77.2</v>
      </c>
      <c r="D155" s="14">
        <v>90.9</v>
      </c>
      <c r="E155" s="14">
        <v>79.7</v>
      </c>
      <c r="F155" s="14">
        <v>61.9</v>
      </c>
      <c r="G155" t="s">
        <v>26</v>
      </c>
    </row>
    <row r="156" spans="1:7">
      <c r="A156" t="s">
        <v>178</v>
      </c>
      <c r="B156" t="s">
        <v>46</v>
      </c>
      <c r="C156" s="14">
        <v>90.6</v>
      </c>
      <c r="D156" s="14">
        <v>60.9</v>
      </c>
      <c r="E156" s="14">
        <v>48</v>
      </c>
      <c r="F156" s="14">
        <v>39.200000000000003</v>
      </c>
      <c r="G156" t="s">
        <v>22</v>
      </c>
    </row>
    <row r="157" spans="1:7">
      <c r="A157" t="s">
        <v>179</v>
      </c>
      <c r="B157" t="s">
        <v>34</v>
      </c>
      <c r="C157" s="14">
        <v>83.1</v>
      </c>
      <c r="D157" s="14">
        <v>77.3</v>
      </c>
      <c r="E157" s="14">
        <v>78.400000000000006</v>
      </c>
      <c r="F157" s="14">
        <v>57.1</v>
      </c>
      <c r="G157" t="s">
        <v>26</v>
      </c>
    </row>
    <row r="158" spans="1:7">
      <c r="A158" t="s">
        <v>180</v>
      </c>
      <c r="C158" s="14">
        <v>68.5</v>
      </c>
      <c r="D158" s="14">
        <v>57</v>
      </c>
      <c r="E158" s="14">
        <v>88.3</v>
      </c>
      <c r="F158" s="14">
        <v>77.599999999999994</v>
      </c>
      <c r="G158" t="s">
        <v>91</v>
      </c>
    </row>
    <row r="159" spans="1:7">
      <c r="A159" t="s">
        <v>181</v>
      </c>
      <c r="B159" t="s">
        <v>182</v>
      </c>
      <c r="C159" s="14">
        <v>78.3</v>
      </c>
      <c r="D159" s="14">
        <v>57</v>
      </c>
      <c r="E159" s="14">
        <v>49</v>
      </c>
      <c r="F159" s="14">
        <v>85.7</v>
      </c>
      <c r="G159" t="s">
        <v>26</v>
      </c>
    </row>
    <row r="160" spans="1:7">
      <c r="B160" t="s">
        <v>34</v>
      </c>
      <c r="C160" s="14">
        <v>82</v>
      </c>
      <c r="D160" s="14">
        <v>68.8</v>
      </c>
      <c r="E160" s="14">
        <v>31.2</v>
      </c>
      <c r="F160" s="14">
        <v>85.3</v>
      </c>
      <c r="G160" t="s">
        <v>26</v>
      </c>
    </row>
    <row r="161" spans="1:7">
      <c r="A161" t="s">
        <v>183</v>
      </c>
      <c r="B161" t="s">
        <v>28</v>
      </c>
      <c r="C161" s="14">
        <v>73.400000000000006</v>
      </c>
      <c r="D161" s="14">
        <v>23.5</v>
      </c>
      <c r="E161" s="14">
        <v>58.7</v>
      </c>
      <c r="F161" s="14">
        <v>80.8</v>
      </c>
      <c r="G161" t="s">
        <v>22</v>
      </c>
    </row>
    <row r="162" spans="1:7">
      <c r="A162" t="s">
        <v>184</v>
      </c>
      <c r="B162" t="s">
        <v>21</v>
      </c>
      <c r="C162" s="14">
        <v>90</v>
      </c>
      <c r="D162" s="14">
        <v>74.7</v>
      </c>
      <c r="E162" s="14">
        <v>64.099999999999994</v>
      </c>
      <c r="F162" s="14">
        <v>87.7</v>
      </c>
      <c r="G162" t="s">
        <v>26</v>
      </c>
    </row>
    <row r="163" spans="1:7">
      <c r="A163" t="s">
        <v>137</v>
      </c>
      <c r="B163" t="s">
        <v>30</v>
      </c>
      <c r="C163" s="14">
        <v>45.5</v>
      </c>
      <c r="D163" s="14">
        <v>-1</v>
      </c>
      <c r="E163" s="14">
        <v>47.8</v>
      </c>
      <c r="F163" s="14">
        <v>45.5</v>
      </c>
      <c r="G163" t="s">
        <v>185</v>
      </c>
    </row>
    <row r="164" spans="1:7">
      <c r="A164" t="s">
        <v>186</v>
      </c>
      <c r="B164" t="s">
        <v>30</v>
      </c>
      <c r="C164" s="14">
        <v>90</v>
      </c>
      <c r="D164" s="14">
        <v>87.2</v>
      </c>
      <c r="E164" s="14"/>
      <c r="F164" s="14">
        <v>88.9</v>
      </c>
      <c r="G164" t="s">
        <v>26</v>
      </c>
    </row>
    <row r="165" spans="1:7">
      <c r="A165" t="s">
        <v>187</v>
      </c>
      <c r="B165" t="s">
        <v>30</v>
      </c>
      <c r="C165" s="14">
        <v>74</v>
      </c>
      <c r="D165" s="14">
        <v>60.3</v>
      </c>
      <c r="E165" s="14">
        <v>63.5</v>
      </c>
      <c r="F165" s="14">
        <v>71</v>
      </c>
      <c r="G165" t="s">
        <v>26</v>
      </c>
    </row>
    <row r="166" spans="1:7">
      <c r="A166" t="s">
        <v>188</v>
      </c>
      <c r="B166" t="s">
        <v>24</v>
      </c>
      <c r="C166" s="14">
        <v>-5</v>
      </c>
      <c r="D166" s="14">
        <v>70.400000000000006</v>
      </c>
      <c r="E166" s="14">
        <v>88.7</v>
      </c>
      <c r="F166" s="14">
        <v>76.400000000000006</v>
      </c>
      <c r="G166" t="s">
        <v>22</v>
      </c>
    </row>
    <row r="167" spans="1:7">
      <c r="A167" t="s">
        <v>189</v>
      </c>
      <c r="B167" t="s">
        <v>24</v>
      </c>
      <c r="C167" s="14">
        <v>91.4</v>
      </c>
      <c r="D167" s="14">
        <v>82</v>
      </c>
      <c r="E167" s="14">
        <v>78.599999999999994</v>
      </c>
      <c r="F167" s="14">
        <v>85.4</v>
      </c>
      <c r="G167" t="s">
        <v>26</v>
      </c>
    </row>
    <row r="168" spans="1:7">
      <c r="A168" t="s">
        <v>190</v>
      </c>
      <c r="B168" t="s">
        <v>21</v>
      </c>
      <c r="C168" s="14">
        <v>57</v>
      </c>
      <c r="D168" s="14">
        <v>86</v>
      </c>
      <c r="E168" s="14">
        <v>64.400000000000006</v>
      </c>
      <c r="F168" s="14">
        <v>75.599999999999994</v>
      </c>
      <c r="G168" t="s">
        <v>22</v>
      </c>
    </row>
    <row r="169" spans="1:7">
      <c r="A169" t="s">
        <v>191</v>
      </c>
      <c r="B169" t="s">
        <v>34</v>
      </c>
      <c r="C169" s="14">
        <v>77.900000000000006</v>
      </c>
      <c r="D169" s="14">
        <v>97.9</v>
      </c>
      <c r="E169" s="14">
        <v>48.1</v>
      </c>
      <c r="F169" s="14">
        <v>46</v>
      </c>
      <c r="G169" t="s">
        <v>26</v>
      </c>
    </row>
    <row r="170" spans="1:7">
      <c r="B170" t="s">
        <v>24</v>
      </c>
      <c r="C170" s="14">
        <v>100</v>
      </c>
      <c r="D170" s="14">
        <v>65.8</v>
      </c>
      <c r="E170" s="14">
        <v>79</v>
      </c>
      <c r="F170" s="14">
        <v>67.7</v>
      </c>
      <c r="G170" t="s">
        <v>26</v>
      </c>
    </row>
    <row r="171" spans="1:7">
      <c r="A171" t="s">
        <v>192</v>
      </c>
      <c r="B171" t="s">
        <v>21</v>
      </c>
      <c r="C171" s="14">
        <v>100</v>
      </c>
      <c r="D171" s="14">
        <v>75.7</v>
      </c>
      <c r="E171" s="14">
        <v>66</v>
      </c>
      <c r="F171" s="14">
        <v>75.2</v>
      </c>
      <c r="G171" t="s">
        <v>26</v>
      </c>
    </row>
    <row r="172" spans="1:7">
      <c r="A172" t="s">
        <v>193</v>
      </c>
      <c r="B172" t="s">
        <v>28</v>
      </c>
      <c r="C172" s="14">
        <v>93.3</v>
      </c>
      <c r="D172" s="14">
        <v>79</v>
      </c>
      <c r="E172" s="14">
        <v>74.2</v>
      </c>
      <c r="F172" s="14">
        <v>27.5</v>
      </c>
      <c r="G172" t="s">
        <v>26</v>
      </c>
    </row>
    <row r="173" spans="1:7">
      <c r="A173" t="s">
        <v>194</v>
      </c>
      <c r="B173" t="s">
        <v>34</v>
      </c>
      <c r="C173" s="14">
        <v>93.5</v>
      </c>
      <c r="D173" s="14">
        <v>65.900000000000006</v>
      </c>
      <c r="E173" s="14">
        <v>81.8</v>
      </c>
      <c r="F173" s="14">
        <v>37.200000000000003</v>
      </c>
    </row>
    <row r="174" spans="1:7">
      <c r="A174" t="s">
        <v>195</v>
      </c>
      <c r="B174" t="s">
        <v>46</v>
      </c>
      <c r="C174" s="14">
        <v>79.099999999999994</v>
      </c>
      <c r="D174" s="14">
        <v>39</v>
      </c>
      <c r="E174" s="14">
        <v>65</v>
      </c>
      <c r="F174" s="14">
        <v>71.2</v>
      </c>
      <c r="G174" t="s">
        <v>22</v>
      </c>
    </row>
    <row r="175" spans="1:7">
      <c r="A175" t="s">
        <v>196</v>
      </c>
      <c r="B175" t="s">
        <v>30</v>
      </c>
      <c r="C175" s="14">
        <v>70</v>
      </c>
      <c r="D175" s="14">
        <v>55.4</v>
      </c>
      <c r="E175" s="14">
        <v>79.8</v>
      </c>
      <c r="F175" s="14">
        <v>68.5</v>
      </c>
      <c r="G175" t="s">
        <v>26</v>
      </c>
    </row>
    <row r="176" spans="1:7">
      <c r="A176" t="s">
        <v>197</v>
      </c>
      <c r="B176" t="s">
        <v>34</v>
      </c>
      <c r="C176" s="14">
        <v>70.7</v>
      </c>
      <c r="D176" s="14">
        <v>62</v>
      </c>
      <c r="E176" s="14">
        <v>77.8</v>
      </c>
      <c r="F176" s="14">
        <v>49</v>
      </c>
      <c r="G176" t="s">
        <v>26</v>
      </c>
    </row>
    <row r="177" spans="1:7">
      <c r="A177" t="s">
        <v>198</v>
      </c>
      <c r="B177" t="s">
        <v>34</v>
      </c>
      <c r="C177" s="14">
        <v>77.599999999999994</v>
      </c>
      <c r="D177" s="14">
        <v>60.2</v>
      </c>
      <c r="E177" s="14">
        <v>56.7</v>
      </c>
      <c r="F177" s="14"/>
      <c r="G177" t="s">
        <v>26</v>
      </c>
    </row>
    <row r="178" spans="1:7">
      <c r="A178" t="s">
        <v>199</v>
      </c>
      <c r="B178" t="s">
        <v>30</v>
      </c>
      <c r="C178" s="14">
        <v>57.2</v>
      </c>
      <c r="D178" s="14"/>
      <c r="E178" s="14">
        <v>60.4</v>
      </c>
      <c r="F178" s="14">
        <v>93</v>
      </c>
      <c r="G178" t="s">
        <v>22</v>
      </c>
    </row>
    <row r="179" spans="1:7">
      <c r="A179" t="s">
        <v>200</v>
      </c>
      <c r="B179" t="s">
        <v>21</v>
      </c>
      <c r="C179" s="14">
        <v>85</v>
      </c>
      <c r="D179" s="14">
        <v>47.5</v>
      </c>
      <c r="E179" s="14">
        <v>66.2</v>
      </c>
      <c r="F179" s="14">
        <v>98</v>
      </c>
      <c r="G179" t="s">
        <v>26</v>
      </c>
    </row>
    <row r="180" spans="1:7">
      <c r="A180" t="s">
        <v>201</v>
      </c>
      <c r="B180" t="s">
        <v>46</v>
      </c>
      <c r="C180" s="14">
        <v>71.900000000000006</v>
      </c>
      <c r="D180" s="14">
        <v>56.3</v>
      </c>
      <c r="E180" s="14">
        <v>41.9</v>
      </c>
      <c r="F180" s="14">
        <v>75.599999999999994</v>
      </c>
      <c r="G180" t="s">
        <v>22</v>
      </c>
    </row>
    <row r="181" spans="1:7">
      <c r="B181" t="s">
        <v>24</v>
      </c>
      <c r="C181" s="14">
        <v>74.599999999999994</v>
      </c>
      <c r="D181" s="14">
        <v>65.900000000000006</v>
      </c>
      <c r="E181" s="14">
        <v>90.9</v>
      </c>
      <c r="F181" s="14">
        <v>49.6</v>
      </c>
      <c r="G181" t="s">
        <v>26</v>
      </c>
    </row>
    <row r="182" spans="1:7">
      <c r="A182" t="s">
        <v>202</v>
      </c>
      <c r="B182" t="s">
        <v>34</v>
      </c>
      <c r="C182" s="14">
        <v>83.3</v>
      </c>
      <c r="D182" s="14">
        <v>41.4</v>
      </c>
      <c r="E182" s="14">
        <v>74.099999999999994</v>
      </c>
      <c r="F182" s="14">
        <v>51.5</v>
      </c>
      <c r="G182" t="s">
        <v>22</v>
      </c>
    </row>
    <row r="183" spans="1:7">
      <c r="A183" t="s">
        <v>203</v>
      </c>
      <c r="B183" t="s">
        <v>24</v>
      </c>
      <c r="C183" s="14">
        <v>65</v>
      </c>
      <c r="D183" s="14">
        <v>89.3</v>
      </c>
      <c r="E183" s="14">
        <v>76.8</v>
      </c>
      <c r="F183" s="14">
        <v>53</v>
      </c>
      <c r="G183" t="s">
        <v>22</v>
      </c>
    </row>
    <row r="184" spans="1:7">
      <c r="A184" t="s">
        <v>204</v>
      </c>
      <c r="B184" t="s">
        <v>30</v>
      </c>
      <c r="C184" s="14">
        <v>70.7</v>
      </c>
      <c r="D184" s="14">
        <v>52.3</v>
      </c>
      <c r="E184" s="14">
        <v>88.7</v>
      </c>
      <c r="F184" s="14">
        <v>83</v>
      </c>
      <c r="G184" t="s">
        <v>26</v>
      </c>
    </row>
    <row r="185" spans="1:7">
      <c r="A185" t="s">
        <v>205</v>
      </c>
      <c r="B185" t="s">
        <v>206</v>
      </c>
      <c r="C185" s="14">
        <v>59.4</v>
      </c>
      <c r="D185" s="14"/>
      <c r="E185" s="14">
        <v>79.7</v>
      </c>
      <c r="F185" s="14">
        <v>55.7</v>
      </c>
      <c r="G185" t="s">
        <v>207</v>
      </c>
    </row>
    <row r="186" spans="1:7">
      <c r="A186" t="s">
        <v>42</v>
      </c>
      <c r="B186" t="s">
        <v>91</v>
      </c>
      <c r="C186" s="14">
        <v>85.8</v>
      </c>
      <c r="D186" s="14">
        <v>88.4</v>
      </c>
      <c r="E186" s="14">
        <v>58.4</v>
      </c>
      <c r="F186" s="14">
        <v>85.8</v>
      </c>
      <c r="G186" t="s">
        <v>26</v>
      </c>
    </row>
    <row r="187" spans="1:7">
      <c r="A187" t="s">
        <v>208</v>
      </c>
      <c r="B187" t="s">
        <v>24</v>
      </c>
      <c r="C187" s="14">
        <v>88.8</v>
      </c>
      <c r="D187" s="14">
        <v>83.4</v>
      </c>
      <c r="E187" s="14">
        <v>72.5</v>
      </c>
      <c r="F187" s="14">
        <v>73.2</v>
      </c>
      <c r="G187" t="s">
        <v>26</v>
      </c>
    </row>
    <row r="188" spans="1:7">
      <c r="A188" t="s">
        <v>209</v>
      </c>
      <c r="B188" t="s">
        <v>21</v>
      </c>
      <c r="C188" s="14">
        <v>55.2</v>
      </c>
      <c r="D188" s="14">
        <v>37.799999999999997</v>
      </c>
      <c r="E188" s="14">
        <v>59.1</v>
      </c>
      <c r="F188" s="14">
        <v>71.2</v>
      </c>
      <c r="G188" t="s">
        <v>22</v>
      </c>
    </row>
    <row r="189" spans="1:7">
      <c r="A189" t="s">
        <v>210</v>
      </c>
      <c r="B189" t="s">
        <v>24</v>
      </c>
      <c r="C189" s="14">
        <v>62.9</v>
      </c>
      <c r="D189" s="14">
        <v>64.2</v>
      </c>
      <c r="E189" s="14">
        <v>46.4</v>
      </c>
      <c r="F189" s="14">
        <v>100</v>
      </c>
      <c r="G189" t="s">
        <v>22</v>
      </c>
    </row>
    <row r="190" spans="1:7">
      <c r="A190" t="s">
        <v>211</v>
      </c>
      <c r="B190" t="s">
        <v>34</v>
      </c>
      <c r="C190" s="14">
        <v>86.2</v>
      </c>
      <c r="D190" s="14">
        <v>88</v>
      </c>
      <c r="E190" s="14">
        <v>52.9</v>
      </c>
      <c r="F190" s="14">
        <v>70.2</v>
      </c>
    </row>
    <row r="191" spans="1:7">
      <c r="A191" t="s">
        <v>212</v>
      </c>
      <c r="B191" t="s">
        <v>21</v>
      </c>
      <c r="C191" s="14">
        <v>84.8</v>
      </c>
      <c r="D191" s="14">
        <v>86.2</v>
      </c>
      <c r="E191" s="14">
        <v>91.2</v>
      </c>
      <c r="F191" s="14">
        <v>60.8</v>
      </c>
      <c r="G191" t="s">
        <v>26</v>
      </c>
    </row>
    <row r="192" spans="1:7">
      <c r="A192" t="s">
        <v>213</v>
      </c>
      <c r="B192" t="s">
        <v>34</v>
      </c>
      <c r="C192" s="14">
        <v>85.1</v>
      </c>
      <c r="D192" s="14">
        <v>67.5</v>
      </c>
      <c r="E192" s="14">
        <v>66.3</v>
      </c>
      <c r="F192" s="14">
        <v>64.099999999999994</v>
      </c>
      <c r="G192" t="s">
        <v>26</v>
      </c>
    </row>
    <row r="193" spans="1:7">
      <c r="B193" t="s">
        <v>30</v>
      </c>
      <c r="C193" s="14">
        <v>67.8</v>
      </c>
      <c r="D193" s="14">
        <v>71.8</v>
      </c>
      <c r="E193" s="14">
        <v>97.5</v>
      </c>
      <c r="F193" s="14">
        <v>100</v>
      </c>
      <c r="G193" t="s">
        <v>22</v>
      </c>
    </row>
    <row r="194" spans="1:7">
      <c r="A194" t="s">
        <v>214</v>
      </c>
      <c r="B194" t="s">
        <v>21</v>
      </c>
      <c r="C194" s="14">
        <v>80.3</v>
      </c>
      <c r="D194" s="14">
        <v>90.3</v>
      </c>
      <c r="E194" s="14">
        <v>82.9</v>
      </c>
      <c r="F194" s="14">
        <v>74.599999999999994</v>
      </c>
      <c r="G194" t="s">
        <v>26</v>
      </c>
    </row>
    <row r="195" spans="1:7">
      <c r="A195" t="s">
        <v>215</v>
      </c>
      <c r="B195" t="s">
        <v>34</v>
      </c>
      <c r="C195" s="14">
        <v>71.7</v>
      </c>
      <c r="D195" s="14">
        <v>83.4</v>
      </c>
      <c r="E195" s="14">
        <v>66.099999999999994</v>
      </c>
      <c r="F195" s="14">
        <v>89.8</v>
      </c>
      <c r="G195" t="s">
        <v>26</v>
      </c>
    </row>
    <row r="196" spans="1:7">
      <c r="A196" t="s">
        <v>216</v>
      </c>
      <c r="C196" s="14">
        <v>76.2</v>
      </c>
      <c r="D196" s="14">
        <v>-10</v>
      </c>
      <c r="E196" s="14">
        <v>64.5</v>
      </c>
      <c r="F196" s="14">
        <v>62.7</v>
      </c>
      <c r="G196" t="s">
        <v>22</v>
      </c>
    </row>
    <row r="197" spans="1:7">
      <c r="A197" t="s">
        <v>217</v>
      </c>
      <c r="B197" t="s">
        <v>28</v>
      </c>
      <c r="C197" s="14">
        <v>94.2</v>
      </c>
      <c r="D197" s="14">
        <v>67.599999999999994</v>
      </c>
      <c r="E197" s="14">
        <v>77.5</v>
      </c>
      <c r="F197" s="14">
        <v>93.3</v>
      </c>
      <c r="G197" t="s">
        <v>26</v>
      </c>
    </row>
    <row r="198" spans="1:7">
      <c r="A198" t="s">
        <v>218</v>
      </c>
      <c r="B198" t="s">
        <v>30</v>
      </c>
      <c r="C198" s="14"/>
      <c r="D198" s="14">
        <v>61.3</v>
      </c>
      <c r="E198" s="14">
        <v>99.6</v>
      </c>
      <c r="F198" s="14">
        <v>55.9</v>
      </c>
      <c r="G198" t="s">
        <v>22</v>
      </c>
    </row>
    <row r="199" spans="1:7">
      <c r="A199" t="s">
        <v>219</v>
      </c>
      <c r="B199" t="s">
        <v>34</v>
      </c>
      <c r="C199" s="14">
        <v>92.8</v>
      </c>
      <c r="D199" s="14">
        <v>64.8</v>
      </c>
      <c r="E199" s="14" t="s">
        <v>352</v>
      </c>
      <c r="F199" s="14">
        <v>60.7</v>
      </c>
      <c r="G199" t="s">
        <v>26</v>
      </c>
    </row>
    <row r="200" spans="1:7">
      <c r="A200" t="s">
        <v>129</v>
      </c>
      <c r="B200" t="s">
        <v>34</v>
      </c>
      <c r="C200" s="14">
        <v>95.3</v>
      </c>
      <c r="D200" s="14">
        <v>70.3</v>
      </c>
      <c r="E200" s="14">
        <v>50.1</v>
      </c>
      <c r="F200" s="14">
        <v>61</v>
      </c>
      <c r="G200" t="s">
        <v>26</v>
      </c>
    </row>
    <row r="201" spans="1:7">
      <c r="A201" t="s">
        <v>220</v>
      </c>
      <c r="B201" t="s">
        <v>34</v>
      </c>
      <c r="C201" s="14">
        <v>85.1</v>
      </c>
      <c r="D201" s="14">
        <v>78.2</v>
      </c>
      <c r="E201" s="14">
        <v>85.5</v>
      </c>
      <c r="F201" s="14">
        <v>67.400000000000006</v>
      </c>
      <c r="G201" t="s">
        <v>26</v>
      </c>
    </row>
    <row r="202" spans="1:7">
      <c r="A202" t="s">
        <v>221</v>
      </c>
      <c r="B202" t="s">
        <v>30</v>
      </c>
      <c r="C202" s="14">
        <v>72.900000000000006</v>
      </c>
      <c r="D202" s="14">
        <v>62.8</v>
      </c>
      <c r="E202" s="14">
        <v>53.1</v>
      </c>
      <c r="F202" s="14">
        <v>81.400000000000006</v>
      </c>
      <c r="G202" t="s">
        <v>26</v>
      </c>
    </row>
    <row r="203" spans="1:7">
      <c r="A203" t="s">
        <v>222</v>
      </c>
      <c r="B203" t="s">
        <v>21</v>
      </c>
      <c r="C203" s="14">
        <v>80</v>
      </c>
      <c r="D203" s="14"/>
      <c r="E203" s="14">
        <v>67.3</v>
      </c>
      <c r="F203" s="14">
        <v>64.599999999999994</v>
      </c>
      <c r="G203" t="s">
        <v>26</v>
      </c>
    </row>
    <row r="204" spans="1:7">
      <c r="A204" t="s">
        <v>128</v>
      </c>
      <c r="B204" t="s">
        <v>28</v>
      </c>
      <c r="C204" s="14">
        <v>99.9</v>
      </c>
      <c r="D204" s="14">
        <v>70.900000000000006</v>
      </c>
      <c r="E204" s="14">
        <v>85.9</v>
      </c>
      <c r="F204" s="14">
        <v>54.9</v>
      </c>
      <c r="G204" t="s">
        <v>26</v>
      </c>
    </row>
    <row r="205" spans="1:7">
      <c r="A205" t="s">
        <v>223</v>
      </c>
      <c r="B205" t="s">
        <v>24</v>
      </c>
      <c r="C205" s="14">
        <v>84.9</v>
      </c>
      <c r="D205" s="14">
        <v>77.2</v>
      </c>
      <c r="E205" s="14">
        <v>81.400000000000006</v>
      </c>
      <c r="F205" s="14">
        <v>68</v>
      </c>
    </row>
    <row r="206" spans="1:7">
      <c r="A206" t="s">
        <v>224</v>
      </c>
      <c r="B206" t="s">
        <v>30</v>
      </c>
      <c r="C206" s="14">
        <v>88.7</v>
      </c>
      <c r="D206" s="14">
        <v>84</v>
      </c>
      <c r="E206" s="14"/>
      <c r="F206" s="14">
        <v>53.3</v>
      </c>
      <c r="G206" t="s">
        <v>26</v>
      </c>
    </row>
    <row r="207" spans="1:7">
      <c r="A207" t="s">
        <v>225</v>
      </c>
      <c r="B207" t="s">
        <v>30</v>
      </c>
      <c r="C207" s="14">
        <v>89.8</v>
      </c>
      <c r="D207" s="14">
        <v>62.5</v>
      </c>
      <c r="E207" s="14">
        <v>73</v>
      </c>
      <c r="F207" s="14">
        <v>37.4</v>
      </c>
      <c r="G207" t="s">
        <v>22</v>
      </c>
    </row>
    <row r="208" spans="1:7">
      <c r="A208" t="s">
        <v>226</v>
      </c>
      <c r="B208" t="s">
        <v>30</v>
      </c>
      <c r="C208" s="14">
        <v>68.900000000000006</v>
      </c>
      <c r="D208" s="14">
        <v>85.3</v>
      </c>
      <c r="E208" s="14">
        <v>38.6</v>
      </c>
      <c r="F208" s="14">
        <v>71</v>
      </c>
      <c r="G208" t="s">
        <v>22</v>
      </c>
    </row>
    <row r="209" spans="1:7">
      <c r="A209" t="s">
        <v>227</v>
      </c>
      <c r="B209" t="s">
        <v>30</v>
      </c>
      <c r="C209" s="14">
        <v>91.4</v>
      </c>
      <c r="D209" s="14">
        <v>69.900000000000006</v>
      </c>
      <c r="E209" s="14">
        <v>58</v>
      </c>
      <c r="F209" s="14">
        <v>82.8</v>
      </c>
      <c r="G209" t="s">
        <v>26</v>
      </c>
    </row>
    <row r="210" spans="1:7">
      <c r="A210" t="s">
        <v>228</v>
      </c>
      <c r="B210" t="s">
        <v>21</v>
      </c>
      <c r="C210" s="14">
        <v>93.7</v>
      </c>
      <c r="D210" s="14">
        <v>74.099999999999994</v>
      </c>
      <c r="E210" s="14">
        <v>61.7</v>
      </c>
      <c r="F210" s="14">
        <v>65</v>
      </c>
      <c r="G210" t="s">
        <v>26</v>
      </c>
    </row>
    <row r="211" spans="1:7">
      <c r="A211" t="s">
        <v>229</v>
      </c>
      <c r="B211" t="s">
        <v>46</v>
      </c>
      <c r="C211" s="14">
        <v>-4</v>
      </c>
      <c r="D211" s="14"/>
      <c r="E211" s="14">
        <v>79.7</v>
      </c>
      <c r="F211" s="14">
        <v>61.9</v>
      </c>
      <c r="G211" t="s">
        <v>26</v>
      </c>
    </row>
    <row r="212" spans="1:7">
      <c r="A212" t="s">
        <v>230</v>
      </c>
      <c r="B212" t="s">
        <v>34</v>
      </c>
      <c r="C212" s="14">
        <v>82.7</v>
      </c>
      <c r="D212" s="14">
        <v>88</v>
      </c>
      <c r="E212" s="14">
        <v>66.099999999999994</v>
      </c>
      <c r="F212" s="14">
        <v>89.9</v>
      </c>
      <c r="G212" t="s">
        <v>26</v>
      </c>
    </row>
    <row r="213" spans="1:7">
      <c r="A213" t="s">
        <v>231</v>
      </c>
      <c r="B213" t="s">
        <v>30</v>
      </c>
      <c r="C213" s="14">
        <v>91.8</v>
      </c>
      <c r="D213" s="14">
        <v>65.900000000000006</v>
      </c>
      <c r="E213" s="14">
        <v>82.7</v>
      </c>
      <c r="F213" s="14"/>
      <c r="G213" t="s">
        <v>26</v>
      </c>
    </row>
    <row r="214" spans="1:7">
      <c r="A214" t="s">
        <v>232</v>
      </c>
      <c r="B214" t="s">
        <v>30</v>
      </c>
      <c r="C214" s="14">
        <v>97.9</v>
      </c>
      <c r="D214" s="14">
        <v>55.2</v>
      </c>
      <c r="E214" s="14">
        <v>82.5</v>
      </c>
      <c r="F214" s="14">
        <v>50.1</v>
      </c>
      <c r="G214" t="s">
        <v>26</v>
      </c>
    </row>
    <row r="215" spans="1:7">
      <c r="A215" t="s">
        <v>233</v>
      </c>
      <c r="B215" t="s">
        <v>46</v>
      </c>
      <c r="C215" s="14">
        <v>75.599999999999994</v>
      </c>
      <c r="D215" s="14">
        <v>30.3</v>
      </c>
      <c r="E215" s="14">
        <v>44.7</v>
      </c>
      <c r="F215" s="14">
        <v>70.599999999999994</v>
      </c>
      <c r="G215" t="s">
        <v>22</v>
      </c>
    </row>
    <row r="216" spans="1:7">
      <c r="A216" t="s">
        <v>234</v>
      </c>
      <c r="B216" t="s">
        <v>34</v>
      </c>
      <c r="C216" s="14">
        <v>90.5</v>
      </c>
      <c r="D216" s="14">
        <v>82.5</v>
      </c>
      <c r="E216" s="14">
        <v>67.599999999999994</v>
      </c>
      <c r="F216" s="14">
        <v>84.2</v>
      </c>
      <c r="G216" t="s">
        <v>26</v>
      </c>
    </row>
    <row r="217" spans="1:7">
      <c r="A217" t="s">
        <v>235</v>
      </c>
      <c r="B217" t="s">
        <v>21</v>
      </c>
      <c r="C217" s="14">
        <v>86.6</v>
      </c>
      <c r="D217" s="14">
        <v>59.5</v>
      </c>
      <c r="E217" s="14">
        <v>60.9</v>
      </c>
      <c r="F217" s="14">
        <v>49.8</v>
      </c>
      <c r="G217" t="s">
        <v>22</v>
      </c>
    </row>
    <row r="218" spans="1:7">
      <c r="A218" t="s">
        <v>236</v>
      </c>
      <c r="B218" t="s">
        <v>28</v>
      </c>
      <c r="C218" s="14">
        <v>81.599999999999994</v>
      </c>
      <c r="D218" s="14">
        <v>74</v>
      </c>
      <c r="E218" s="14">
        <v>65.5</v>
      </c>
      <c r="F218" s="14">
        <v>62.2</v>
      </c>
      <c r="G218" t="s">
        <v>26</v>
      </c>
    </row>
    <row r="219" spans="1:7">
      <c r="A219" t="s">
        <v>237</v>
      </c>
      <c r="B219" t="s">
        <v>21</v>
      </c>
      <c r="C219" s="14">
        <v>75.599999999999994</v>
      </c>
      <c r="D219" s="14">
        <v>37.200000000000003</v>
      </c>
      <c r="E219" s="14">
        <v>68</v>
      </c>
      <c r="F219" s="14"/>
      <c r="G219" t="s">
        <v>22</v>
      </c>
    </row>
    <row r="220" spans="1:7">
      <c r="A220" t="s">
        <v>238</v>
      </c>
      <c r="C220" s="14">
        <v>93.7</v>
      </c>
      <c r="D220" s="14">
        <v>73.599999999999994</v>
      </c>
      <c r="E220" s="14">
        <v>51.5</v>
      </c>
      <c r="F220" s="14">
        <v>89</v>
      </c>
      <c r="G220" t="s">
        <v>26</v>
      </c>
    </row>
    <row r="221" spans="1:7">
      <c r="A221" t="s">
        <v>239</v>
      </c>
      <c r="B221" t="s">
        <v>46</v>
      </c>
      <c r="C221" s="14">
        <v>93.4</v>
      </c>
      <c r="D221" s="14">
        <v>58.3</v>
      </c>
      <c r="E221" s="14">
        <v>71.2</v>
      </c>
      <c r="F221" s="14">
        <v>52.5</v>
      </c>
      <c r="G221" t="s">
        <v>26</v>
      </c>
    </row>
    <row r="222" spans="1:7">
      <c r="A222" t="s">
        <v>240</v>
      </c>
      <c r="B222" t="s">
        <v>34</v>
      </c>
      <c r="C222" s="14">
        <v>90.1</v>
      </c>
      <c r="D222" s="14">
        <v>69.8</v>
      </c>
      <c r="E222" s="14">
        <v>100</v>
      </c>
      <c r="F222" s="14">
        <v>96.1</v>
      </c>
      <c r="G222" t="s">
        <v>26</v>
      </c>
    </row>
    <row r="223" spans="1:7">
      <c r="A223" t="s">
        <v>241</v>
      </c>
      <c r="B223" t="s">
        <v>24</v>
      </c>
      <c r="C223" s="14">
        <v>83.5</v>
      </c>
      <c r="D223" s="14">
        <v>44.3</v>
      </c>
      <c r="E223" s="14">
        <v>77</v>
      </c>
      <c r="F223" s="14">
        <v>75.7</v>
      </c>
      <c r="G223" t="s">
        <v>26</v>
      </c>
    </row>
    <row r="224" spans="1:7">
      <c r="A224" t="s">
        <v>242</v>
      </c>
      <c r="C224" s="14">
        <v>100</v>
      </c>
      <c r="D224" s="14">
        <v>77.099999999999994</v>
      </c>
      <c r="E224" s="14">
        <v>63.3</v>
      </c>
      <c r="F224" s="14">
        <v>79</v>
      </c>
      <c r="G224" t="s">
        <v>26</v>
      </c>
    </row>
    <row r="225" spans="1:7">
      <c r="A225" t="s">
        <v>243</v>
      </c>
      <c r="B225" t="s">
        <v>30</v>
      </c>
      <c r="C225" s="14">
        <v>78.599999999999994</v>
      </c>
      <c r="D225" s="14">
        <v>73.8</v>
      </c>
      <c r="E225" s="14">
        <v>91.4</v>
      </c>
      <c r="F225" s="14">
        <v>95.9</v>
      </c>
      <c r="G225" t="s">
        <v>26</v>
      </c>
    </row>
    <row r="226" spans="1:7">
      <c r="A226" t="s">
        <v>244</v>
      </c>
      <c r="B226" t="s">
        <v>34</v>
      </c>
      <c r="C226" s="14">
        <v>79.099999999999994</v>
      </c>
      <c r="D226" s="14">
        <v>45.6</v>
      </c>
      <c r="E226" s="14">
        <v>44.6</v>
      </c>
      <c r="F226" s="14">
        <v>76.5</v>
      </c>
    </row>
    <row r="227" spans="1:7">
      <c r="A227" t="s">
        <v>245</v>
      </c>
      <c r="B227" t="s">
        <v>34</v>
      </c>
      <c r="C227" s="14">
        <v>69.400000000000006</v>
      </c>
      <c r="D227" s="14">
        <v>95.1</v>
      </c>
      <c r="E227" s="14">
        <v>58.3</v>
      </c>
      <c r="F227" s="14">
        <v>88.9</v>
      </c>
      <c r="G227" t="s">
        <v>22</v>
      </c>
    </row>
    <row r="228" spans="1:7">
      <c r="A228" t="s">
        <v>246</v>
      </c>
      <c r="B228" t="s">
        <v>46</v>
      </c>
      <c r="C228" s="14">
        <v>83.3</v>
      </c>
      <c r="D228" s="14">
        <v>98.7</v>
      </c>
      <c r="E228" s="14">
        <v>78.7</v>
      </c>
      <c r="F228" s="14" t="s">
        <v>352</v>
      </c>
      <c r="G228" t="s">
        <v>26</v>
      </c>
    </row>
    <row r="229" spans="1:7">
      <c r="A229" t="s">
        <v>247</v>
      </c>
      <c r="B229" t="s">
        <v>24</v>
      </c>
      <c r="C229" s="14">
        <v>99.5</v>
      </c>
      <c r="D229" s="14">
        <v>92.7</v>
      </c>
      <c r="E229" s="14">
        <v>62.7</v>
      </c>
      <c r="F229" s="14">
        <v>81.400000000000006</v>
      </c>
      <c r="G229" t="s">
        <v>26</v>
      </c>
    </row>
    <row r="230" spans="1:7">
      <c r="A230" t="s">
        <v>248</v>
      </c>
      <c r="B230" t="s">
        <v>24</v>
      </c>
      <c r="C230" s="14">
        <v>92</v>
      </c>
      <c r="D230" s="14">
        <v>52.1</v>
      </c>
      <c r="E230" s="14">
        <v>48.5</v>
      </c>
      <c r="F230" s="14">
        <v>99.8</v>
      </c>
      <c r="G230" t="s">
        <v>26</v>
      </c>
    </row>
    <row r="231" spans="1:7">
      <c r="A231" t="s">
        <v>249</v>
      </c>
      <c r="B231" t="s">
        <v>30</v>
      </c>
      <c r="C231" s="14">
        <v>77.7</v>
      </c>
      <c r="D231" s="14"/>
      <c r="E231" s="14">
        <v>61.9</v>
      </c>
      <c r="F231" s="14">
        <v>70.7</v>
      </c>
      <c r="G231" t="s">
        <v>26</v>
      </c>
    </row>
    <row r="232" spans="1:7">
      <c r="A232" t="s">
        <v>250</v>
      </c>
      <c r="B232" t="s">
        <v>30</v>
      </c>
      <c r="C232" s="14">
        <v>72.2</v>
      </c>
      <c r="D232" s="14">
        <v>71.099999999999994</v>
      </c>
      <c r="E232" s="14">
        <v>69.8</v>
      </c>
      <c r="F232" s="14">
        <v>76.5</v>
      </c>
      <c r="G232" t="s">
        <v>26</v>
      </c>
    </row>
    <row r="233" spans="1:7">
      <c r="A233" t="s">
        <v>251</v>
      </c>
      <c r="C233" s="14">
        <v>82</v>
      </c>
      <c r="D233" s="14">
        <v>84.8</v>
      </c>
      <c r="E233" s="14">
        <v>53.7</v>
      </c>
      <c r="F233" s="14">
        <v>91.3</v>
      </c>
      <c r="G233" t="s">
        <v>26</v>
      </c>
    </row>
    <row r="234" spans="1:7">
      <c r="A234" t="s">
        <v>252</v>
      </c>
      <c r="B234" t="s">
        <v>30</v>
      </c>
      <c r="C234" s="14">
        <v>88.3</v>
      </c>
      <c r="D234" s="14">
        <v>72.400000000000006</v>
      </c>
      <c r="E234" s="14">
        <v>73.599999999999994</v>
      </c>
      <c r="F234" s="14"/>
      <c r="G234" t="s">
        <v>26</v>
      </c>
    </row>
    <row r="235" spans="1:7">
      <c r="A235" t="s">
        <v>253</v>
      </c>
      <c r="C235" s="14">
        <v>82.5</v>
      </c>
      <c r="D235" s="14">
        <v>69.099999999999994</v>
      </c>
      <c r="E235" s="14">
        <v>61</v>
      </c>
      <c r="F235" s="14">
        <v>55.4</v>
      </c>
      <c r="G235" t="s">
        <v>26</v>
      </c>
    </row>
    <row r="236" spans="1:7">
      <c r="A236" t="s">
        <v>254</v>
      </c>
      <c r="B236" t="s">
        <v>30</v>
      </c>
      <c r="C236" s="14">
        <v>72.3</v>
      </c>
      <c r="D236" s="14">
        <v>55.5</v>
      </c>
      <c r="E236" s="14">
        <v>117</v>
      </c>
      <c r="F236" s="14">
        <v>80</v>
      </c>
      <c r="G236" t="s">
        <v>26</v>
      </c>
    </row>
    <row r="237" spans="1:7">
      <c r="A237" t="s">
        <v>255</v>
      </c>
      <c r="B237" t="s">
        <v>28</v>
      </c>
      <c r="C237" s="14">
        <v>67.900000000000006</v>
      </c>
      <c r="D237" s="14">
        <v>55.5</v>
      </c>
      <c r="E237" s="14">
        <v>93.3</v>
      </c>
      <c r="F237" s="14">
        <v>62.9</v>
      </c>
      <c r="G237" t="s">
        <v>22</v>
      </c>
    </row>
    <row r="238" spans="1:7">
      <c r="A238" t="s">
        <v>256</v>
      </c>
      <c r="B238" t="s">
        <v>46</v>
      </c>
      <c r="C238" s="14">
        <v>67.3</v>
      </c>
      <c r="D238" s="14">
        <v>81.599999999999994</v>
      </c>
      <c r="E238" s="14">
        <v>90.8</v>
      </c>
      <c r="F238" s="14">
        <v>84.6</v>
      </c>
      <c r="G238" t="s">
        <v>22</v>
      </c>
    </row>
    <row r="239" spans="1:7">
      <c r="A239" t="s">
        <v>257</v>
      </c>
      <c r="B239" t="s">
        <v>28</v>
      </c>
      <c r="C239" s="14">
        <v>95</v>
      </c>
      <c r="D239" s="14">
        <v>99.5</v>
      </c>
      <c r="E239" s="14">
        <v>74.8</v>
      </c>
      <c r="F239" s="14">
        <v>82.7</v>
      </c>
      <c r="G239" t="s">
        <v>26</v>
      </c>
    </row>
    <row r="240" spans="1:7">
      <c r="A240" t="s">
        <v>258</v>
      </c>
      <c r="B240" t="s">
        <v>24</v>
      </c>
      <c r="C240" s="14">
        <v>80.400000000000006</v>
      </c>
      <c r="D240" s="14">
        <v>89.3</v>
      </c>
      <c r="E240" s="14">
        <v>71.7</v>
      </c>
      <c r="F240" s="14">
        <v>61.4</v>
      </c>
      <c r="G240" t="s">
        <v>26</v>
      </c>
    </row>
    <row r="241" spans="1:7">
      <c r="A241" t="s">
        <v>259</v>
      </c>
      <c r="B241" t="s">
        <v>24</v>
      </c>
      <c r="C241" s="14">
        <v>73.2</v>
      </c>
      <c r="D241" s="14">
        <v>67</v>
      </c>
      <c r="E241" s="14">
        <v>88.2</v>
      </c>
      <c r="F241" s="14">
        <v>78</v>
      </c>
      <c r="G241" t="s">
        <v>26</v>
      </c>
    </row>
    <row r="242" spans="1:7">
      <c r="A242" t="s">
        <v>260</v>
      </c>
      <c r="B242" t="s">
        <v>30</v>
      </c>
      <c r="C242" s="14">
        <v>80.7</v>
      </c>
      <c r="D242" s="14">
        <v>71.3</v>
      </c>
      <c r="E242" s="14">
        <v>100</v>
      </c>
      <c r="F242" s="14">
        <v>67.599999999999994</v>
      </c>
      <c r="G242" t="s">
        <v>26</v>
      </c>
    </row>
    <row r="243" spans="1:7">
      <c r="A243" t="s">
        <v>261</v>
      </c>
      <c r="B243" t="s">
        <v>21</v>
      </c>
      <c r="C243" s="14">
        <v>84.9</v>
      </c>
      <c r="D243" s="14">
        <v>80.7</v>
      </c>
      <c r="E243" s="14" t="s">
        <v>353</v>
      </c>
      <c r="F243" s="14">
        <v>49.2</v>
      </c>
      <c r="G243" t="s">
        <v>26</v>
      </c>
    </row>
    <row r="244" spans="1:7">
      <c r="B244" t="s">
        <v>28</v>
      </c>
      <c r="C244" s="14">
        <v>79.5</v>
      </c>
      <c r="D244" s="14">
        <v>64.400000000000006</v>
      </c>
      <c r="E244" s="14">
        <v>50.7</v>
      </c>
      <c r="F244" s="14">
        <v>50.9</v>
      </c>
      <c r="G244" t="s">
        <v>22</v>
      </c>
    </row>
    <row r="245" spans="1:7">
      <c r="A245" t="s">
        <v>262</v>
      </c>
      <c r="B245" t="s">
        <v>34</v>
      </c>
      <c r="C245" s="14">
        <v>79.5</v>
      </c>
      <c r="D245" s="14">
        <v>82</v>
      </c>
      <c r="E245" s="14">
        <v>43.2</v>
      </c>
      <c r="F245" s="14"/>
      <c r="G245" t="s">
        <v>26</v>
      </c>
    </row>
    <row r="246" spans="1:7">
      <c r="A246" t="s">
        <v>179</v>
      </c>
      <c r="B246" t="s">
        <v>34</v>
      </c>
      <c r="C246" s="14">
        <v>83.1</v>
      </c>
      <c r="D246" s="14">
        <v>77.3</v>
      </c>
      <c r="E246" s="14">
        <v>78.400000000000006</v>
      </c>
      <c r="F246" s="14">
        <v>57.1</v>
      </c>
      <c r="G246" t="s">
        <v>26</v>
      </c>
    </row>
    <row r="247" spans="1:7">
      <c r="A247" t="s">
        <v>263</v>
      </c>
      <c r="B247" t="s">
        <v>34</v>
      </c>
      <c r="C247" s="14">
        <v>69.599999999999994</v>
      </c>
      <c r="D247" s="14">
        <v>69.099999999999994</v>
      </c>
      <c r="E247" s="14">
        <v>62.5</v>
      </c>
      <c r="F247" s="14">
        <v>76.099999999999994</v>
      </c>
      <c r="G247" t="s">
        <v>22</v>
      </c>
    </row>
    <row r="248" spans="1:7">
      <c r="A248" t="s">
        <v>264</v>
      </c>
      <c r="B248" t="s">
        <v>34</v>
      </c>
      <c r="C248" s="14">
        <v>100</v>
      </c>
      <c r="D248" s="14">
        <v>78.8</v>
      </c>
      <c r="E248" s="14">
        <v>49.9</v>
      </c>
      <c r="F248" s="14">
        <v>66.8</v>
      </c>
      <c r="G248" t="s">
        <v>26</v>
      </c>
    </row>
    <row r="249" spans="1:7">
      <c r="A249" t="s">
        <v>265</v>
      </c>
      <c r="B249" t="s">
        <v>34</v>
      </c>
      <c r="C249" s="14">
        <v>93.2</v>
      </c>
      <c r="D249" s="14">
        <v>53.5</v>
      </c>
      <c r="E249" s="14">
        <v>72.2</v>
      </c>
      <c r="F249" s="14">
        <v>49.9</v>
      </c>
      <c r="G249" t="s">
        <v>22</v>
      </c>
    </row>
    <row r="250" spans="1:7">
      <c r="A250" t="s">
        <v>266</v>
      </c>
      <c r="B250" t="s">
        <v>34</v>
      </c>
      <c r="C250" s="14">
        <v>96.2</v>
      </c>
      <c r="D250" s="14">
        <v>64.2</v>
      </c>
      <c r="E250" s="14">
        <v>70.5</v>
      </c>
      <c r="F250" s="14">
        <v>56</v>
      </c>
      <c r="G250" t="s">
        <v>26</v>
      </c>
    </row>
    <row r="251" spans="1:7">
      <c r="A251" t="s">
        <v>267</v>
      </c>
      <c r="B251" t="s">
        <v>24</v>
      </c>
      <c r="C251" s="14">
        <v>77.8</v>
      </c>
      <c r="D251" s="14"/>
      <c r="E251" s="14">
        <v>59.2</v>
      </c>
      <c r="F251" s="14">
        <v>83.6</v>
      </c>
      <c r="G251" t="s">
        <v>26</v>
      </c>
    </row>
    <row r="252" spans="1:7">
      <c r="A252" t="s">
        <v>268</v>
      </c>
      <c r="B252" t="s">
        <v>269</v>
      </c>
      <c r="C252" s="14">
        <v>70.400000000000006</v>
      </c>
      <c r="D252" s="14">
        <v>69.099999999999994</v>
      </c>
      <c r="E252" s="14">
        <v>74.7</v>
      </c>
      <c r="F252" s="14">
        <v>77.400000000000006</v>
      </c>
      <c r="G252" t="s">
        <v>26</v>
      </c>
    </row>
    <row r="253" spans="1:7">
      <c r="A253" t="s">
        <v>270</v>
      </c>
      <c r="B253" t="s">
        <v>30</v>
      </c>
      <c r="C253" s="14">
        <v>71.8</v>
      </c>
      <c r="D253" s="14">
        <v>100</v>
      </c>
      <c r="E253" s="14">
        <v>57.1</v>
      </c>
      <c r="F253" s="14">
        <v>92.2</v>
      </c>
      <c r="G253" t="s">
        <v>26</v>
      </c>
    </row>
    <row r="254" spans="1:7">
      <c r="A254" t="s">
        <v>271</v>
      </c>
      <c r="B254" t="s">
        <v>24</v>
      </c>
      <c r="C254" s="14">
        <v>82.5</v>
      </c>
      <c r="D254" s="14">
        <v>87.7</v>
      </c>
      <c r="E254" s="14">
        <v>70.599999999999994</v>
      </c>
      <c r="F254" s="14"/>
      <c r="G254" t="s">
        <v>26</v>
      </c>
    </row>
    <row r="255" spans="1:7">
      <c r="A255" t="s">
        <v>272</v>
      </c>
      <c r="B255" t="s">
        <v>46</v>
      </c>
      <c r="C255" s="14">
        <v>76</v>
      </c>
      <c r="D255" s="14">
        <v>69.400000000000006</v>
      </c>
      <c r="E255" s="14">
        <v>71.5</v>
      </c>
      <c r="F255" s="14">
        <v>49.2</v>
      </c>
      <c r="G255" t="s">
        <v>26</v>
      </c>
    </row>
    <row r="256" spans="1:7">
      <c r="A256" t="s">
        <v>273</v>
      </c>
      <c r="B256" t="s">
        <v>24</v>
      </c>
      <c r="C256" s="14">
        <v>67.2</v>
      </c>
      <c r="D256" s="14">
        <v>100</v>
      </c>
      <c r="E256" s="14">
        <v>49.8</v>
      </c>
      <c r="F256" s="14"/>
      <c r="G256" t="s">
        <v>62</v>
      </c>
    </row>
    <row r="257" spans="1:7">
      <c r="A257" t="s">
        <v>274</v>
      </c>
      <c r="B257" t="s">
        <v>24</v>
      </c>
      <c r="C257" s="14">
        <v>97.4</v>
      </c>
      <c r="D257" s="14">
        <v>78.3</v>
      </c>
      <c r="E257" s="14">
        <v>54</v>
      </c>
      <c r="F257" s="14">
        <v>66.2</v>
      </c>
      <c r="G257" t="s">
        <v>26</v>
      </c>
    </row>
    <row r="258" spans="1:7">
      <c r="A258" t="s">
        <v>275</v>
      </c>
      <c r="B258" t="s">
        <v>34</v>
      </c>
      <c r="C258" s="14">
        <v>79.900000000000006</v>
      </c>
      <c r="D258" s="14">
        <v>62.6</v>
      </c>
      <c r="E258" s="14"/>
      <c r="F258" s="14">
        <v>62.3</v>
      </c>
      <c r="G258" t="s">
        <v>26</v>
      </c>
    </row>
    <row r="259" spans="1:7">
      <c r="A259" t="s">
        <v>276</v>
      </c>
      <c r="B259" t="s">
        <v>24</v>
      </c>
      <c r="C259" s="14">
        <v>92.5</v>
      </c>
      <c r="D259" s="14">
        <v>79.3</v>
      </c>
      <c r="E259" s="14">
        <v>80.599999999999994</v>
      </c>
      <c r="F259" s="14">
        <v>79.3</v>
      </c>
      <c r="G259" t="s">
        <v>26</v>
      </c>
    </row>
    <row r="260" spans="1:7">
      <c r="A260" t="s">
        <v>277</v>
      </c>
      <c r="B260" t="s">
        <v>28</v>
      </c>
      <c r="C260" s="14">
        <v>77.2</v>
      </c>
      <c r="D260" s="14">
        <v>91.8</v>
      </c>
      <c r="E260" s="14">
        <v>73.099999999999994</v>
      </c>
      <c r="F260" s="14">
        <v>98.2</v>
      </c>
      <c r="G260" t="s">
        <v>26</v>
      </c>
    </row>
    <row r="261" spans="1:7">
      <c r="A261" t="s">
        <v>278</v>
      </c>
      <c r="B261" t="s">
        <v>28</v>
      </c>
      <c r="C261" s="14"/>
      <c r="D261" s="14">
        <v>60.2</v>
      </c>
      <c r="E261" s="14">
        <v>61.2</v>
      </c>
      <c r="F261" s="14">
        <v>46.5</v>
      </c>
      <c r="G261" t="s">
        <v>22</v>
      </c>
    </row>
    <row r="262" spans="1:7">
      <c r="A262" t="s">
        <v>279</v>
      </c>
      <c r="B262" t="s">
        <v>46</v>
      </c>
      <c r="C262" s="14">
        <v>73.599999999999994</v>
      </c>
      <c r="D262" s="14">
        <v>84.8</v>
      </c>
      <c r="E262" s="14">
        <v>56.4</v>
      </c>
      <c r="F262" s="14">
        <v>65.2</v>
      </c>
      <c r="G262" t="s">
        <v>26</v>
      </c>
    </row>
    <row r="263" spans="1:7">
      <c r="A263" t="s">
        <v>280</v>
      </c>
      <c r="B263" t="s">
        <v>21</v>
      </c>
      <c r="C263" s="14"/>
      <c r="D263" s="14">
        <v>52</v>
      </c>
      <c r="E263" s="14">
        <v>52.5</v>
      </c>
      <c r="F263" s="14">
        <v>90.8</v>
      </c>
      <c r="G263" t="s">
        <v>26</v>
      </c>
    </row>
    <row r="264" spans="1:7">
      <c r="A264" t="s">
        <v>281</v>
      </c>
      <c r="B264" t="s">
        <v>34</v>
      </c>
      <c r="C264" s="14">
        <v>84.6</v>
      </c>
      <c r="D264" s="14">
        <v>79.8</v>
      </c>
      <c r="E264" s="14">
        <v>100</v>
      </c>
      <c r="F264" s="14">
        <v>64.2</v>
      </c>
      <c r="G264" t="s">
        <v>26</v>
      </c>
    </row>
    <row r="265" spans="1:7">
      <c r="A265" t="s">
        <v>282</v>
      </c>
      <c r="B265" t="s">
        <v>24</v>
      </c>
      <c r="C265" s="14">
        <v>82.6</v>
      </c>
      <c r="D265" s="14">
        <v>57.2</v>
      </c>
      <c r="E265" s="14">
        <v>22.2</v>
      </c>
      <c r="F265" s="14">
        <v>60.4</v>
      </c>
      <c r="G265" t="s">
        <v>22</v>
      </c>
    </row>
    <row r="266" spans="1:7">
      <c r="A266" t="s">
        <v>283</v>
      </c>
      <c r="B266" t="s">
        <v>111</v>
      </c>
      <c r="C266" s="14">
        <v>83.8</v>
      </c>
      <c r="D266" s="14">
        <v>79.2</v>
      </c>
      <c r="E266" s="14">
        <v>11.4</v>
      </c>
      <c r="F266" s="14">
        <v>49.5</v>
      </c>
      <c r="G266" t="s">
        <v>22</v>
      </c>
    </row>
    <row r="267" spans="1:7">
      <c r="A267" t="s">
        <v>284</v>
      </c>
      <c r="B267" t="s">
        <v>21</v>
      </c>
      <c r="C267" s="14">
        <v>75.2</v>
      </c>
      <c r="D267" s="14">
        <v>76.400000000000006</v>
      </c>
      <c r="E267" s="14"/>
      <c r="F267" s="14">
        <v>98.9</v>
      </c>
      <c r="G267" t="s">
        <v>26</v>
      </c>
    </row>
    <row r="268" spans="1:7">
      <c r="A268" t="s">
        <v>285</v>
      </c>
      <c r="B268" t="s">
        <v>24</v>
      </c>
      <c r="C268" s="14">
        <v>75.8</v>
      </c>
      <c r="D268" s="14"/>
      <c r="E268" s="14">
        <v>100</v>
      </c>
      <c r="F268" s="14">
        <v>91.7</v>
      </c>
      <c r="G268" t="s">
        <v>26</v>
      </c>
    </row>
    <row r="269" spans="1:7">
      <c r="A269" t="s">
        <v>286</v>
      </c>
      <c r="B269" t="s">
        <v>24</v>
      </c>
      <c r="C269" s="14">
        <v>94.1</v>
      </c>
      <c r="D269" s="14">
        <v>55.5</v>
      </c>
      <c r="E269" s="14">
        <v>54</v>
      </c>
      <c r="F269" s="14">
        <v>65.900000000000006</v>
      </c>
    </row>
    <row r="270" spans="1:7">
      <c r="A270" t="s">
        <v>287</v>
      </c>
      <c r="B270" t="s">
        <v>28</v>
      </c>
      <c r="C270" s="14">
        <v>69.900000000000006</v>
      </c>
      <c r="D270" s="14">
        <v>80.7</v>
      </c>
      <c r="E270" s="14"/>
      <c r="F270" s="14">
        <v>88.2</v>
      </c>
      <c r="G270" t="s">
        <v>22</v>
      </c>
    </row>
    <row r="271" spans="1:7">
      <c r="A271" t="s">
        <v>288</v>
      </c>
      <c r="B271" t="s">
        <v>21</v>
      </c>
      <c r="C271" s="14">
        <v>71.8</v>
      </c>
      <c r="D271" s="14">
        <v>78.2</v>
      </c>
      <c r="E271" s="14">
        <v>78.400000000000006</v>
      </c>
      <c r="F271" s="14">
        <v>58</v>
      </c>
      <c r="G271" t="s">
        <v>26</v>
      </c>
    </row>
    <row r="272" spans="1:7">
      <c r="A272" t="s">
        <v>289</v>
      </c>
      <c r="B272" t="s">
        <v>30</v>
      </c>
      <c r="C272" s="14">
        <v>69.900000000000006</v>
      </c>
      <c r="D272" s="14">
        <v>79.7</v>
      </c>
      <c r="E272" s="14">
        <v>75.400000000000006</v>
      </c>
      <c r="F272" s="14">
        <v>59.3</v>
      </c>
    </row>
    <row r="273" spans="1:7">
      <c r="A273" t="s">
        <v>290</v>
      </c>
      <c r="B273" t="s">
        <v>21</v>
      </c>
      <c r="C273" s="14">
        <v>77.2</v>
      </c>
      <c r="D273" s="14">
        <v>51.1</v>
      </c>
      <c r="E273" s="14">
        <v>71.3</v>
      </c>
      <c r="F273" s="14">
        <v>83.6</v>
      </c>
      <c r="G273" t="s">
        <v>26</v>
      </c>
    </row>
    <row r="274" spans="1:7">
      <c r="A274" t="s">
        <v>291</v>
      </c>
      <c r="B274" t="s">
        <v>21</v>
      </c>
      <c r="C274" s="14">
        <v>81.599999999999994</v>
      </c>
      <c r="D274" s="14">
        <v>52.8</v>
      </c>
      <c r="E274" s="14">
        <v>60.2</v>
      </c>
      <c r="F274" s="14">
        <v>93</v>
      </c>
      <c r="G274" t="s">
        <v>26</v>
      </c>
    </row>
    <row r="275" spans="1:7">
      <c r="A275" t="s">
        <v>292</v>
      </c>
      <c r="B275" t="s">
        <v>24</v>
      </c>
      <c r="C275" s="14">
        <v>74.3</v>
      </c>
      <c r="D275" s="14">
        <v>81.900000000000006</v>
      </c>
      <c r="E275" s="14">
        <v>63.7</v>
      </c>
      <c r="F275" s="14">
        <v>34.4</v>
      </c>
      <c r="G275" t="s">
        <v>26</v>
      </c>
    </row>
    <row r="276" spans="1:7">
      <c r="A276" t="s">
        <v>293</v>
      </c>
      <c r="B276" t="s">
        <v>21</v>
      </c>
      <c r="C276" s="14">
        <v>92.7</v>
      </c>
      <c r="D276" s="14">
        <v>62.7</v>
      </c>
      <c r="E276" s="14">
        <v>96.1</v>
      </c>
      <c r="F276" s="14">
        <v>74.099999999999994</v>
      </c>
      <c r="G276" t="s">
        <v>26</v>
      </c>
    </row>
    <row r="277" spans="1:7">
      <c r="A277" t="s">
        <v>294</v>
      </c>
      <c r="B277" t="s">
        <v>34</v>
      </c>
      <c r="C277" s="14">
        <v>77.3</v>
      </c>
      <c r="D277" s="14">
        <v>74.900000000000006</v>
      </c>
      <c r="E277" s="14">
        <v>81.599999999999994</v>
      </c>
      <c r="F277" s="14">
        <v>62.2</v>
      </c>
      <c r="G277" t="s">
        <v>26</v>
      </c>
    </row>
    <row r="278" spans="1:7">
      <c r="A278" t="s">
        <v>295</v>
      </c>
      <c r="B278" t="s">
        <v>24</v>
      </c>
      <c r="C278" s="14">
        <v>90</v>
      </c>
      <c r="D278" s="14">
        <v>61.3</v>
      </c>
      <c r="E278" s="14">
        <v>51.2</v>
      </c>
      <c r="F278" s="14">
        <v>86.8</v>
      </c>
      <c r="G278" t="s">
        <v>26</v>
      </c>
    </row>
    <row r="279" spans="1:7">
      <c r="A279" t="s">
        <v>296</v>
      </c>
      <c r="B279" t="s">
        <v>30</v>
      </c>
      <c r="C279" s="14">
        <v>100</v>
      </c>
      <c r="D279" s="14"/>
      <c r="E279" s="14">
        <v>57.9</v>
      </c>
      <c r="F279" s="14">
        <v>78.8</v>
      </c>
      <c r="G279" t="s">
        <v>26</v>
      </c>
    </row>
    <row r="280" spans="1:7">
      <c r="A280" t="s">
        <v>297</v>
      </c>
      <c r="B280" t="s">
        <v>28</v>
      </c>
      <c r="C280" s="14">
        <v>85.2</v>
      </c>
      <c r="D280" s="14">
        <v>76.099999999999994</v>
      </c>
      <c r="E280" s="14">
        <v>38.9</v>
      </c>
      <c r="F280" s="14">
        <v>94.1</v>
      </c>
      <c r="G280" t="s">
        <v>26</v>
      </c>
    </row>
    <row r="281" spans="1:7">
      <c r="A281" t="s">
        <v>298</v>
      </c>
      <c r="B281" t="s">
        <v>21</v>
      </c>
      <c r="C281" s="14">
        <v>69.900000000000006</v>
      </c>
      <c r="D281" s="14">
        <v>80.599999999999994</v>
      </c>
      <c r="E281" s="14">
        <v>61.3</v>
      </c>
      <c r="F281" s="14">
        <v>97.7</v>
      </c>
    </row>
    <row r="282" spans="1:7">
      <c r="A282" t="s">
        <v>299</v>
      </c>
      <c r="B282" t="s">
        <v>21</v>
      </c>
      <c r="C282" s="14">
        <v>60.8</v>
      </c>
      <c r="D282" s="14">
        <v>77.400000000000006</v>
      </c>
      <c r="E282" s="14">
        <v>76.8</v>
      </c>
      <c r="F282" s="14">
        <v>41.7</v>
      </c>
    </row>
    <row r="283" spans="1:7">
      <c r="A283" t="s">
        <v>300</v>
      </c>
      <c r="B283" t="s">
        <v>34</v>
      </c>
      <c r="C283" s="14">
        <v>82.6</v>
      </c>
      <c r="D283" s="14">
        <v>68</v>
      </c>
      <c r="E283" s="14">
        <v>63.6</v>
      </c>
      <c r="F283" s="14">
        <v>58.9</v>
      </c>
      <c r="G283" t="s">
        <v>26</v>
      </c>
    </row>
    <row r="284" spans="1:7">
      <c r="A284" t="s">
        <v>301</v>
      </c>
      <c r="B284" t="s">
        <v>21</v>
      </c>
      <c r="C284" s="14">
        <v>84.5</v>
      </c>
      <c r="D284" s="14">
        <v>63.5</v>
      </c>
      <c r="E284" s="14">
        <v>56.2</v>
      </c>
      <c r="F284" s="14">
        <v>85.4</v>
      </c>
      <c r="G284" t="s">
        <v>26</v>
      </c>
    </row>
    <row r="285" spans="1:7">
      <c r="A285" t="s">
        <v>302</v>
      </c>
      <c r="B285" t="s">
        <v>21</v>
      </c>
      <c r="C285" s="14">
        <v>62.8</v>
      </c>
      <c r="D285" s="14">
        <v>82.1</v>
      </c>
      <c r="E285" s="14">
        <v>47.3</v>
      </c>
      <c r="F285" s="14">
        <v>68.599999999999994</v>
      </c>
      <c r="G285" t="s">
        <v>22</v>
      </c>
    </row>
    <row r="286" spans="1:7">
      <c r="A286" t="s">
        <v>303</v>
      </c>
      <c r="B286" t="s">
        <v>28</v>
      </c>
      <c r="C286" s="14">
        <v>70.7</v>
      </c>
      <c r="D286" s="14">
        <v>70.3</v>
      </c>
      <c r="E286" s="14">
        <v>87.1</v>
      </c>
      <c r="F286" s="14">
        <v>77.599999999999994</v>
      </c>
      <c r="G286" t="s">
        <v>26</v>
      </c>
    </row>
    <row r="287" spans="1:7">
      <c r="A287" t="s">
        <v>304</v>
      </c>
      <c r="B287" t="s">
        <v>24</v>
      </c>
      <c r="C287" s="14">
        <v>79.8</v>
      </c>
      <c r="D287" s="14">
        <v>42.7</v>
      </c>
      <c r="E287" s="14">
        <v>66.5</v>
      </c>
      <c r="F287" s="14">
        <v>75.2</v>
      </c>
      <c r="G287" t="s">
        <v>39</v>
      </c>
    </row>
    <row r="288" spans="1:7">
      <c r="A288" t="s">
        <v>305</v>
      </c>
      <c r="B288" t="s">
        <v>30</v>
      </c>
      <c r="C288" s="14">
        <v>70.900000000000006</v>
      </c>
      <c r="D288" s="14">
        <v>87.1</v>
      </c>
      <c r="E288" s="14">
        <v>73.099999999999994</v>
      </c>
      <c r="F288" s="14">
        <v>100</v>
      </c>
      <c r="G288" t="s">
        <v>26</v>
      </c>
    </row>
    <row r="289" spans="1:7">
      <c r="A289" t="s">
        <v>306</v>
      </c>
      <c r="B289" t="s">
        <v>30</v>
      </c>
      <c r="C289" s="14">
        <v>72.900000000000006</v>
      </c>
      <c r="D289" s="14">
        <v>67.599999999999994</v>
      </c>
      <c r="E289" s="14">
        <v>55.4</v>
      </c>
      <c r="F289" s="14">
        <v>77.5</v>
      </c>
      <c r="G289" t="s">
        <v>26</v>
      </c>
    </row>
    <row r="290" spans="1:7">
      <c r="B290" t="s">
        <v>30</v>
      </c>
      <c r="C290" s="14">
        <v>87.8</v>
      </c>
      <c r="D290" s="14">
        <v>75.099999999999994</v>
      </c>
      <c r="E290" s="14">
        <v>84.7</v>
      </c>
      <c r="F290" s="14">
        <v>80.099999999999994</v>
      </c>
      <c r="G290" t="s">
        <v>26</v>
      </c>
    </row>
    <row r="291" spans="1:7">
      <c r="A291" t="s">
        <v>307</v>
      </c>
      <c r="B291" t="s">
        <v>24</v>
      </c>
      <c r="C291" s="14">
        <v>66.5</v>
      </c>
      <c r="D291" s="14">
        <v>99.1</v>
      </c>
      <c r="E291" s="14">
        <v>83.5</v>
      </c>
      <c r="F291" s="14">
        <v>35.700000000000003</v>
      </c>
      <c r="G291" t="s">
        <v>22</v>
      </c>
    </row>
    <row r="292" spans="1:7">
      <c r="B292" t="s">
        <v>34</v>
      </c>
      <c r="C292" s="14">
        <v>76.099999999999994</v>
      </c>
      <c r="D292" s="14">
        <v>49</v>
      </c>
      <c r="E292" s="14">
        <v>44.8</v>
      </c>
      <c r="F292" s="14">
        <v>42</v>
      </c>
      <c r="G292" t="s">
        <v>22</v>
      </c>
    </row>
    <row r="293" spans="1:7">
      <c r="A293" t="s">
        <v>308</v>
      </c>
      <c r="B293" t="s">
        <v>30</v>
      </c>
      <c r="C293" s="14">
        <v>84.2</v>
      </c>
      <c r="D293" s="14">
        <v>61.6</v>
      </c>
      <c r="E293" s="14">
        <v>100</v>
      </c>
      <c r="F293" s="14">
        <v>77.5</v>
      </c>
      <c r="G293" t="s">
        <v>26</v>
      </c>
    </row>
    <row r="294" spans="1:7">
      <c r="A294" t="s">
        <v>309</v>
      </c>
      <c r="B294" t="s">
        <v>28</v>
      </c>
      <c r="C294" s="14">
        <v>58.5</v>
      </c>
      <c r="D294" s="14">
        <v>88</v>
      </c>
      <c r="E294" s="14">
        <v>67.099999999999994</v>
      </c>
      <c r="F294" s="14">
        <v>54.1</v>
      </c>
    </row>
    <row r="295" spans="1:7">
      <c r="A295" t="s">
        <v>310</v>
      </c>
      <c r="B295" t="s">
        <v>21</v>
      </c>
      <c r="C295" s="14">
        <v>100</v>
      </c>
      <c r="D295" s="14"/>
      <c r="E295" s="14">
        <v>72.400000000000006</v>
      </c>
      <c r="F295" s="14">
        <v>67.8</v>
      </c>
      <c r="G295" t="s">
        <v>26</v>
      </c>
    </row>
    <row r="296" spans="1:7">
      <c r="A296" t="s">
        <v>311</v>
      </c>
      <c r="B296" t="s">
        <v>30</v>
      </c>
      <c r="C296" s="14">
        <v>65.3</v>
      </c>
      <c r="D296" s="14">
        <v>92.9</v>
      </c>
      <c r="E296" s="14">
        <v>85.4</v>
      </c>
      <c r="F296" s="14">
        <v>68.2</v>
      </c>
      <c r="G296" t="s">
        <v>22</v>
      </c>
    </row>
    <row r="297" spans="1:7">
      <c r="A297" t="s">
        <v>312</v>
      </c>
      <c r="B297" t="s">
        <v>28</v>
      </c>
      <c r="C297" s="14">
        <v>93.4</v>
      </c>
      <c r="D297" s="14">
        <v>70.2</v>
      </c>
      <c r="E297" s="14">
        <v>80.400000000000006</v>
      </c>
      <c r="F297" s="14">
        <v>91.8</v>
      </c>
      <c r="G297" t="s">
        <v>26</v>
      </c>
    </row>
    <row r="298" spans="1:7">
      <c r="A298" t="s">
        <v>313</v>
      </c>
      <c r="B298" t="s">
        <v>34</v>
      </c>
      <c r="C298" s="14">
        <v>89.2</v>
      </c>
      <c r="D298" s="14">
        <v>100</v>
      </c>
      <c r="E298" s="14">
        <v>74.8</v>
      </c>
      <c r="F298" s="14">
        <v>73.599999999999994</v>
      </c>
      <c r="G298" t="s">
        <v>26</v>
      </c>
    </row>
    <row r="299" spans="1:7">
      <c r="A299" t="s">
        <v>314</v>
      </c>
      <c r="C299" s="14">
        <v>61.9</v>
      </c>
      <c r="D299" s="14">
        <v>78.400000000000006</v>
      </c>
      <c r="E299" s="14">
        <v>69</v>
      </c>
      <c r="F299" s="14">
        <v>90.6</v>
      </c>
      <c r="G299" t="s">
        <v>22</v>
      </c>
    </row>
    <row r="300" spans="1:7">
      <c r="A300" t="s">
        <v>315</v>
      </c>
      <c r="B300" t="s">
        <v>28</v>
      </c>
      <c r="C300" s="14">
        <v>63.5</v>
      </c>
      <c r="D300" s="14">
        <v>76.400000000000006</v>
      </c>
      <c r="E300" s="14">
        <v>88.6</v>
      </c>
      <c r="F300" s="14"/>
      <c r="G300" t="s">
        <v>22</v>
      </c>
    </row>
    <row r="301" spans="1:7">
      <c r="A301" t="s">
        <v>316</v>
      </c>
      <c r="B301" t="s">
        <v>34</v>
      </c>
      <c r="C301" s="14">
        <v>88.7</v>
      </c>
      <c r="D301" s="14"/>
      <c r="E301" s="14">
        <v>70.400000000000006</v>
      </c>
      <c r="F301" s="14">
        <v>63.1</v>
      </c>
      <c r="G301"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962E4-CBD4-41D7-8050-A183233CF6F6}">
  <sheetPr>
    <tabColor rgb="FFFF0000"/>
  </sheetPr>
  <dimension ref="A1:T302"/>
  <sheetViews>
    <sheetView topLeftCell="B1" workbookViewId="0">
      <pane ySplit="1" topLeftCell="A7" activePane="bottomLeft" state="frozen"/>
      <selection pane="bottomLeft" activeCell="P27" sqref="P27"/>
    </sheetView>
  </sheetViews>
  <sheetFormatPr defaultRowHeight="14.5"/>
  <cols>
    <col min="1" max="1" width="14.81640625" bestFit="1" customWidth="1"/>
    <col min="2" max="2" width="21.08984375" customWidth="1"/>
    <col min="3" max="3" width="22.7265625" bestFit="1" customWidth="1"/>
    <col min="4" max="4" width="23.7265625" customWidth="1"/>
    <col min="5" max="5" width="23.26953125" customWidth="1"/>
    <col min="6" max="6" width="19.1796875" customWidth="1"/>
    <col min="7" max="7" width="23.08984375" customWidth="1"/>
    <col min="8" max="8" width="22.54296875" hidden="1" customWidth="1"/>
    <col min="9" max="9" width="16.7265625" hidden="1" customWidth="1"/>
    <col min="10" max="10" width="13.26953125" hidden="1" customWidth="1"/>
    <col min="11" max="11" width="15.81640625" customWidth="1"/>
    <col min="12" max="12" width="19.90625" customWidth="1"/>
    <col min="13" max="13" width="16.81640625" customWidth="1"/>
    <col min="14" max="14" width="14.453125" customWidth="1"/>
  </cols>
  <sheetData>
    <row r="1" spans="1:20" ht="15.5">
      <c r="A1" s="10" t="s">
        <v>13</v>
      </c>
      <c r="B1" s="10" t="s">
        <v>14</v>
      </c>
      <c r="C1" s="10" t="s">
        <v>15</v>
      </c>
      <c r="D1" s="10" t="s">
        <v>16</v>
      </c>
      <c r="E1" s="10" t="s">
        <v>17</v>
      </c>
      <c r="F1" s="10" t="s">
        <v>18</v>
      </c>
      <c r="G1" s="10" t="s">
        <v>19</v>
      </c>
      <c r="H1" s="22" t="s">
        <v>368</v>
      </c>
      <c r="I1" s="22" t="s">
        <v>374</v>
      </c>
      <c r="J1" s="22" t="s">
        <v>375</v>
      </c>
      <c r="K1" s="22" t="s">
        <v>376</v>
      </c>
      <c r="L1" s="22" t="s">
        <v>30</v>
      </c>
      <c r="M1" s="22" t="s">
        <v>381</v>
      </c>
    </row>
    <row r="2" spans="1:20">
      <c r="A2" s="2" t="s">
        <v>254</v>
      </c>
      <c r="B2" s="2" t="s">
        <v>30</v>
      </c>
      <c r="C2" s="2">
        <v>72.3</v>
      </c>
      <c r="D2" s="2">
        <v>55.5</v>
      </c>
      <c r="E2" s="2">
        <v>117</v>
      </c>
      <c r="F2" s="2">
        <v>80</v>
      </c>
      <c r="G2" s="2" t="s">
        <v>26</v>
      </c>
      <c r="H2" t="str">
        <f t="shared" ref="H2:H65" si="0">IF(OR(TRIM(B2)="",TRIM(B2)="-",TRIM(B2)="Unknown"),"Unknown",IF(UPPER(TRIM(B2))="CS","Computer Science",IF(UPPER(TRIM(B2))="PH","Public Health",PROPER(TRIM(B2)))))</f>
        <v>Computer Science</v>
      </c>
      <c r="I2" t="str">
        <f>IF(OR(TRIM(G2)="",TRIM(G2)="-",UPPER(TRIM(G2))="UNKNOWN"),"Unknown",IF(OR(UPPER(TRIM(G2))="AR",UPPER(TRIM(G2))="AT RISK"),"At Risk",IF(UPPER(TRIM(G2))="GOOD STANDING","Good Standing","Unknown")))</f>
        <v>Good Standing</v>
      </c>
      <c r="J2" t="str">
        <f>TRIM(G2)</f>
        <v>Good Standing</v>
      </c>
      <c r="K2" t="str">
        <f>TRIM(CLEAN(SUBSTITUTE(G2,CHAR(160)," ")))</f>
        <v>Good Standing</v>
      </c>
      <c r="L2" t="str">
        <f>TRIM(CLEAN(SUBSTITUTE(B2,CHAR(160)," ")))</f>
        <v>Computer Science</v>
      </c>
      <c r="N2" s="28">
        <f>SUMIF(L2:L298,"Computer Science",F2:F298)</f>
        <v>4218.8755200000005</v>
      </c>
    </row>
    <row r="3" spans="1:20">
      <c r="A3" s="2" t="s">
        <v>36</v>
      </c>
      <c r="B3" s="2" t="s">
        <v>30</v>
      </c>
      <c r="C3" s="2">
        <v>77.900000000000006</v>
      </c>
      <c r="D3" s="2">
        <v>65.8</v>
      </c>
      <c r="E3" s="2">
        <v>100</v>
      </c>
      <c r="F3" s="2">
        <v>91</v>
      </c>
      <c r="G3" s="2" t="s">
        <v>26</v>
      </c>
      <c r="H3" t="str">
        <f t="shared" si="0"/>
        <v>Computer Science</v>
      </c>
      <c r="I3" t="str">
        <f t="shared" ref="I3:I66" si="1">IF(OR(TRIM(G3)="",TRIM(G3)="-",UPPER(TRIM(G3))="UNKNOWN"),"Unknown",IF(OR(UPPER(TRIM(G3))="AR",UPPER(TRIM(G3))="AT RISK"),"At Risk",IF(UPPER(TRIM(G3))="GOOD STANDING","Good Standing","Unknown")))</f>
        <v>Good Standing</v>
      </c>
      <c r="J3" t="str">
        <f t="shared" ref="J3:J65" si="2">TRIM(G3)</f>
        <v>Good Standing</v>
      </c>
      <c r="K3" t="str">
        <f t="shared" ref="K3:K65" si="3">TRIM(CLEAN(SUBSTITUTE(G3,CHAR(160)," ")))</f>
        <v>Good Standing</v>
      </c>
      <c r="L3" t="str">
        <f>TRIM(CLEAN(SUBSTITUTE(B3,CHAR(160)," ")))</f>
        <v>Computer Science</v>
      </c>
    </row>
    <row r="4" spans="1:20">
      <c r="A4" s="2" t="s">
        <v>102</v>
      </c>
      <c r="B4" s="2" t="s">
        <v>91</v>
      </c>
      <c r="C4" s="2">
        <v>88.7</v>
      </c>
      <c r="D4" s="2">
        <v>85.3</v>
      </c>
      <c r="E4" s="2">
        <v>100</v>
      </c>
      <c r="F4" s="2">
        <v>69.400000000000006</v>
      </c>
      <c r="G4" s="2" t="s">
        <v>26</v>
      </c>
      <c r="H4" t="str">
        <f t="shared" si="0"/>
        <v>Unknown</v>
      </c>
      <c r="I4" t="str">
        <f t="shared" si="1"/>
        <v>Good Standing</v>
      </c>
      <c r="J4" t="str">
        <f t="shared" si="2"/>
        <v>Good Standing</v>
      </c>
      <c r="K4" t="str">
        <f t="shared" si="3"/>
        <v>Good Standing</v>
      </c>
      <c r="L4" t="str">
        <f t="shared" ref="L4:L65" si="4">TRIM(CLEAN(SUBSTITUTE(B4,CHAR(160)," ")))</f>
        <v>Unknown</v>
      </c>
      <c r="R4" t="s">
        <v>382</v>
      </c>
      <c r="T4">
        <f>AVERAGE($F$2:$F$298)</f>
        <v>71.54388459459463</v>
      </c>
    </row>
    <row r="5" spans="1:20">
      <c r="A5" s="2" t="s">
        <v>148</v>
      </c>
      <c r="B5" s="2" t="s">
        <v>46</v>
      </c>
      <c r="C5" s="2">
        <v>73.7</v>
      </c>
      <c r="D5" s="2">
        <v>76.900000000000006</v>
      </c>
      <c r="E5" s="2">
        <v>100</v>
      </c>
      <c r="F5" s="2">
        <v>56.2</v>
      </c>
      <c r="G5" s="2" t="s">
        <v>22</v>
      </c>
      <c r="H5" t="str">
        <f t="shared" si="0"/>
        <v>Economics</v>
      </c>
      <c r="I5" t="str">
        <f t="shared" si="1"/>
        <v>At Risk</v>
      </c>
      <c r="J5" t="str">
        <f t="shared" si="2"/>
        <v>At Risk</v>
      </c>
      <c r="K5" t="str">
        <f t="shared" si="3"/>
        <v>At Risk</v>
      </c>
      <c r="L5" t="str">
        <f t="shared" si="4"/>
        <v>Economics</v>
      </c>
      <c r="R5" t="s">
        <v>383</v>
      </c>
      <c r="T5">
        <f>AVERAGE($E$2:$E$298)</f>
        <v>67.45286195286198</v>
      </c>
    </row>
    <row r="6" spans="1:20">
      <c r="A6" s="2" t="s">
        <v>240</v>
      </c>
      <c r="B6" s="2" t="s">
        <v>34</v>
      </c>
      <c r="C6" s="2">
        <v>90.1</v>
      </c>
      <c r="D6" s="2">
        <v>69.8</v>
      </c>
      <c r="E6" s="2">
        <v>100</v>
      </c>
      <c r="F6" s="2">
        <v>96.1</v>
      </c>
      <c r="G6" s="2" t="s">
        <v>26</v>
      </c>
      <c r="H6" t="str">
        <f t="shared" si="0"/>
        <v>Data Science</v>
      </c>
      <c r="I6" t="str">
        <f t="shared" si="1"/>
        <v>Good Standing</v>
      </c>
      <c r="J6" t="str">
        <f t="shared" si="2"/>
        <v>Good Standing</v>
      </c>
      <c r="K6" t="str">
        <f t="shared" si="3"/>
        <v>Good Standing</v>
      </c>
      <c r="L6" t="str">
        <f t="shared" si="4"/>
        <v>Data Science</v>
      </c>
      <c r="R6" t="s">
        <v>384</v>
      </c>
      <c r="T6">
        <f>AVERAGE($C$2:$C$298)</f>
        <v>79.344444444444491</v>
      </c>
    </row>
    <row r="7" spans="1:20">
      <c r="A7" s="2" t="s">
        <v>260</v>
      </c>
      <c r="B7" s="2" t="s">
        <v>30</v>
      </c>
      <c r="C7" s="2">
        <v>80.7</v>
      </c>
      <c r="D7" s="2">
        <v>71.3</v>
      </c>
      <c r="E7" s="2">
        <v>100</v>
      </c>
      <c r="F7" s="2">
        <v>67.599999999999994</v>
      </c>
      <c r="G7" s="2" t="s">
        <v>26</v>
      </c>
      <c r="H7" t="str">
        <f t="shared" si="0"/>
        <v>Computer Science</v>
      </c>
      <c r="I7" t="str">
        <f t="shared" si="1"/>
        <v>Good Standing</v>
      </c>
      <c r="J7" t="str">
        <f t="shared" si="2"/>
        <v>Good Standing</v>
      </c>
      <c r="K7" t="str">
        <f t="shared" si="3"/>
        <v>Good Standing</v>
      </c>
      <c r="L7" t="str">
        <f t="shared" si="4"/>
        <v>Computer Science</v>
      </c>
      <c r="R7" t="s">
        <v>385</v>
      </c>
      <c r="T7">
        <f>AVERAGE($D$2:$D$298)</f>
        <v>70.99288135593217</v>
      </c>
    </row>
    <row r="8" spans="1:20">
      <c r="A8" s="2" t="s">
        <v>281</v>
      </c>
      <c r="B8" s="2" t="s">
        <v>34</v>
      </c>
      <c r="C8" s="2">
        <v>84.6</v>
      </c>
      <c r="D8" s="2">
        <v>79.8</v>
      </c>
      <c r="E8" s="2">
        <v>100</v>
      </c>
      <c r="F8" s="2">
        <v>64.2</v>
      </c>
      <c r="G8" s="2" t="s">
        <v>26</v>
      </c>
      <c r="H8" t="str">
        <f t="shared" si="0"/>
        <v>Data Science</v>
      </c>
      <c r="I8" t="str">
        <f t="shared" si="1"/>
        <v>Good Standing</v>
      </c>
      <c r="J8" t="str">
        <f t="shared" si="2"/>
        <v>Good Standing</v>
      </c>
      <c r="K8" t="str">
        <f t="shared" si="3"/>
        <v>Good Standing</v>
      </c>
      <c r="L8" t="str">
        <f t="shared" si="4"/>
        <v>Data Science</v>
      </c>
      <c r="R8" t="s">
        <v>386</v>
      </c>
      <c r="T8">
        <f>AVERAGEIF(G2:G298,"Good Standing",F2:F298)</f>
        <v>71.318786849315075</v>
      </c>
    </row>
    <row r="9" spans="1:20">
      <c r="A9" s="2" t="s">
        <v>285</v>
      </c>
      <c r="B9" s="2" t="s">
        <v>24</v>
      </c>
      <c r="C9" s="2">
        <v>75.8</v>
      </c>
      <c r="D9" s="2">
        <v>69.8</v>
      </c>
      <c r="E9" s="2">
        <v>100</v>
      </c>
      <c r="F9" s="2">
        <v>91.7</v>
      </c>
      <c r="G9" s="2" t="s">
        <v>26</v>
      </c>
      <c r="H9" t="str">
        <f t="shared" si="0"/>
        <v>Business Administration</v>
      </c>
      <c r="I9" t="str">
        <f t="shared" si="1"/>
        <v>Good Standing</v>
      </c>
      <c r="J9" t="str">
        <f t="shared" si="2"/>
        <v>Good Standing</v>
      </c>
      <c r="K9" t="str">
        <f t="shared" si="3"/>
        <v>Good Standing</v>
      </c>
      <c r="L9" t="str">
        <f t="shared" si="4"/>
        <v>Business Administration</v>
      </c>
      <c r="R9" t="s">
        <v>387</v>
      </c>
      <c r="T9">
        <f>AVERAGEIF(G2:G298,"At Risk",F2:F298)</f>
        <v>70.774412830188695</v>
      </c>
    </row>
    <row r="10" spans="1:20">
      <c r="A10" s="2" t="s">
        <v>308</v>
      </c>
      <c r="B10" s="2" t="s">
        <v>30</v>
      </c>
      <c r="C10" s="2">
        <v>84.2</v>
      </c>
      <c r="D10" s="2">
        <v>61.6</v>
      </c>
      <c r="E10" s="2">
        <v>100</v>
      </c>
      <c r="F10" s="2">
        <v>77.5</v>
      </c>
      <c r="G10" s="2" t="s">
        <v>22</v>
      </c>
      <c r="H10" t="str">
        <f t="shared" si="0"/>
        <v>Computer Science</v>
      </c>
      <c r="I10" t="str">
        <f t="shared" si="1"/>
        <v>At Risk</v>
      </c>
      <c r="J10" t="str">
        <f t="shared" si="2"/>
        <v>At Risk</v>
      </c>
      <c r="K10" t="str">
        <f t="shared" si="3"/>
        <v>At Risk</v>
      </c>
      <c r="L10" t="str">
        <f t="shared" si="4"/>
        <v>Computer Science</v>
      </c>
    </row>
    <row r="11" spans="1:20">
      <c r="A11" s="2" t="s">
        <v>218</v>
      </c>
      <c r="B11" s="2" t="s">
        <v>30</v>
      </c>
      <c r="C11" s="2">
        <v>58.7</v>
      </c>
      <c r="D11" s="2">
        <v>61.3</v>
      </c>
      <c r="E11" s="2">
        <v>99.6</v>
      </c>
      <c r="F11" s="2">
        <v>55.9</v>
      </c>
      <c r="G11" s="2" t="s">
        <v>26</v>
      </c>
      <c r="H11" t="str">
        <f t="shared" si="0"/>
        <v>Computer Science</v>
      </c>
      <c r="I11" t="str">
        <f t="shared" si="1"/>
        <v>Good Standing</v>
      </c>
      <c r="J11" t="str">
        <f t="shared" si="2"/>
        <v>Good Standing</v>
      </c>
      <c r="K11" t="str">
        <f t="shared" si="3"/>
        <v>Good Standing</v>
      </c>
      <c r="L11" t="str">
        <f t="shared" si="4"/>
        <v>Computer Science</v>
      </c>
    </row>
    <row r="12" spans="1:20">
      <c r="A12" s="2" t="s">
        <v>85</v>
      </c>
      <c r="B12" s="2" t="s">
        <v>21</v>
      </c>
      <c r="C12" s="2">
        <v>74</v>
      </c>
      <c r="D12" s="2">
        <v>49</v>
      </c>
      <c r="E12" s="2">
        <v>97.7</v>
      </c>
      <c r="F12" s="2">
        <v>58.8</v>
      </c>
      <c r="G12" s="2" t="s">
        <v>22</v>
      </c>
      <c r="H12" t="str">
        <f t="shared" si="0"/>
        <v>Public Health</v>
      </c>
      <c r="I12" t="str">
        <f t="shared" si="1"/>
        <v>At Risk</v>
      </c>
      <c r="J12" t="str">
        <f t="shared" si="2"/>
        <v>At Risk</v>
      </c>
      <c r="K12" t="str">
        <f t="shared" si="3"/>
        <v>At Risk</v>
      </c>
      <c r="L12" t="str">
        <f t="shared" si="4"/>
        <v>Public Health</v>
      </c>
    </row>
    <row r="13" spans="1:20">
      <c r="A13" s="2" t="s">
        <v>317</v>
      </c>
      <c r="B13" s="2" t="s">
        <v>30</v>
      </c>
      <c r="C13" s="2">
        <v>67.8</v>
      </c>
      <c r="D13" s="2">
        <v>71.8</v>
      </c>
      <c r="E13" s="2">
        <v>97.5</v>
      </c>
      <c r="F13" s="2">
        <v>100</v>
      </c>
      <c r="G13" s="2" t="s">
        <v>22</v>
      </c>
      <c r="H13" t="str">
        <f t="shared" si="0"/>
        <v>Computer Science</v>
      </c>
      <c r="I13" t="str">
        <f t="shared" si="1"/>
        <v>At Risk</v>
      </c>
      <c r="J13" t="str">
        <f t="shared" si="2"/>
        <v>At Risk</v>
      </c>
      <c r="K13" t="str">
        <f t="shared" si="3"/>
        <v>At Risk</v>
      </c>
      <c r="L13" t="str">
        <f t="shared" si="4"/>
        <v>Computer Science</v>
      </c>
    </row>
    <row r="14" spans="1:20">
      <c r="A14" s="2" t="s">
        <v>67</v>
      </c>
      <c r="B14" s="2" t="s">
        <v>21</v>
      </c>
      <c r="C14" s="2">
        <v>82.1</v>
      </c>
      <c r="D14" s="2">
        <v>74.099999999999994</v>
      </c>
      <c r="E14" s="2">
        <v>96.2</v>
      </c>
      <c r="F14" s="2">
        <v>86.2</v>
      </c>
      <c r="G14" s="2" t="s">
        <v>91</v>
      </c>
      <c r="H14" t="str">
        <f t="shared" si="0"/>
        <v>Public Health</v>
      </c>
      <c r="I14" t="str">
        <f t="shared" si="1"/>
        <v>Unknown</v>
      </c>
      <c r="J14" t="str">
        <f t="shared" si="2"/>
        <v>Unknown</v>
      </c>
      <c r="K14" t="str">
        <f t="shared" si="3"/>
        <v>Unknown</v>
      </c>
      <c r="L14" t="str">
        <f t="shared" si="4"/>
        <v>Public Health</v>
      </c>
    </row>
    <row r="15" spans="1:20">
      <c r="A15" s="2" t="s">
        <v>293</v>
      </c>
      <c r="B15" s="2" t="s">
        <v>21</v>
      </c>
      <c r="C15" s="2">
        <v>92.7</v>
      </c>
      <c r="D15" s="2">
        <v>62.7</v>
      </c>
      <c r="E15" s="2">
        <v>96.1</v>
      </c>
      <c r="F15" s="2">
        <v>74.099999999999994</v>
      </c>
      <c r="G15" s="2" t="s">
        <v>26</v>
      </c>
      <c r="H15" t="str">
        <f t="shared" si="0"/>
        <v>Public Health</v>
      </c>
      <c r="I15" t="str">
        <f t="shared" si="1"/>
        <v>Good Standing</v>
      </c>
      <c r="J15" t="str">
        <f t="shared" si="2"/>
        <v>Good Standing</v>
      </c>
      <c r="K15" t="str">
        <f t="shared" si="3"/>
        <v>Good Standing</v>
      </c>
      <c r="L15" t="str">
        <f t="shared" si="4"/>
        <v>Public Health</v>
      </c>
    </row>
    <row r="16" spans="1:20">
      <c r="A16" s="2" t="s">
        <v>139</v>
      </c>
      <c r="B16" s="2" t="s">
        <v>21</v>
      </c>
      <c r="C16" s="2">
        <v>74.2</v>
      </c>
      <c r="D16" s="2">
        <v>71.400000000000006</v>
      </c>
      <c r="E16" s="2">
        <v>95.9</v>
      </c>
      <c r="F16" s="2">
        <v>80.400000000000006</v>
      </c>
      <c r="G16" s="2" t="s">
        <v>26</v>
      </c>
      <c r="H16" t="str">
        <f t="shared" si="0"/>
        <v>Public Health</v>
      </c>
      <c r="I16" t="str">
        <f t="shared" si="1"/>
        <v>Good Standing</v>
      </c>
      <c r="J16" t="str">
        <f t="shared" si="2"/>
        <v>Good Standing</v>
      </c>
      <c r="K16" t="str">
        <f t="shared" si="3"/>
        <v>Good Standing</v>
      </c>
      <c r="L16" t="str">
        <f t="shared" si="4"/>
        <v>Public Health</v>
      </c>
    </row>
    <row r="17" spans="1:12">
      <c r="A17" s="2" t="s">
        <v>66</v>
      </c>
      <c r="B17" s="2" t="s">
        <v>21</v>
      </c>
      <c r="C17" s="2">
        <v>63.3</v>
      </c>
      <c r="D17" s="2">
        <v>89.2</v>
      </c>
      <c r="E17" s="2">
        <v>95.1</v>
      </c>
      <c r="F17" s="2">
        <v>82.9</v>
      </c>
      <c r="G17" s="2" t="s">
        <v>22</v>
      </c>
      <c r="H17" t="str">
        <f t="shared" si="0"/>
        <v>Public Health</v>
      </c>
      <c r="I17" t="str">
        <f t="shared" si="1"/>
        <v>At Risk</v>
      </c>
      <c r="J17" t="str">
        <f t="shared" si="2"/>
        <v>At Risk</v>
      </c>
      <c r="K17" t="str">
        <f t="shared" si="3"/>
        <v>At Risk</v>
      </c>
      <c r="L17" t="str">
        <f t="shared" si="4"/>
        <v>Public Health</v>
      </c>
    </row>
    <row r="18" spans="1:12">
      <c r="A18" s="2" t="s">
        <v>37</v>
      </c>
      <c r="B18" s="2" t="s">
        <v>34</v>
      </c>
      <c r="C18" s="2">
        <v>100</v>
      </c>
      <c r="D18" s="2">
        <v>71.5</v>
      </c>
      <c r="E18" s="2">
        <v>94.5</v>
      </c>
      <c r="F18" s="2">
        <v>93.4</v>
      </c>
      <c r="G18" s="2" t="s">
        <v>26</v>
      </c>
      <c r="H18" t="str">
        <f t="shared" si="0"/>
        <v>Data Science</v>
      </c>
      <c r="I18" t="str">
        <f t="shared" si="1"/>
        <v>Good Standing</v>
      </c>
      <c r="J18" t="str">
        <f t="shared" si="2"/>
        <v>Good Standing</v>
      </c>
      <c r="K18" t="str">
        <f t="shared" si="3"/>
        <v>Good Standing</v>
      </c>
      <c r="L18" t="str">
        <f t="shared" si="4"/>
        <v>Data Science</v>
      </c>
    </row>
    <row r="19" spans="1:12">
      <c r="A19" s="2" t="s">
        <v>135</v>
      </c>
      <c r="B19" s="2" t="s">
        <v>28</v>
      </c>
      <c r="C19" s="2">
        <v>83.7</v>
      </c>
      <c r="D19" s="2">
        <v>71.400000000000006</v>
      </c>
      <c r="E19" s="2">
        <v>93.6</v>
      </c>
      <c r="F19" s="2">
        <v>86.1</v>
      </c>
      <c r="G19" s="2" t="s">
        <v>26</v>
      </c>
      <c r="H19" t="str">
        <f t="shared" si="0"/>
        <v>Engineering</v>
      </c>
      <c r="I19" t="str">
        <f t="shared" si="1"/>
        <v>Good Standing</v>
      </c>
      <c r="J19" t="str">
        <f t="shared" si="2"/>
        <v>Good Standing</v>
      </c>
      <c r="K19" t="str">
        <f t="shared" si="3"/>
        <v>Good Standing</v>
      </c>
      <c r="L19" t="str">
        <f t="shared" si="4"/>
        <v>Engineering</v>
      </c>
    </row>
    <row r="20" spans="1:12">
      <c r="A20" s="2" t="s">
        <v>255</v>
      </c>
      <c r="B20" s="2" t="s">
        <v>28</v>
      </c>
      <c r="C20" s="2">
        <v>67.900000000000006</v>
      </c>
      <c r="D20" s="2">
        <v>55.5</v>
      </c>
      <c r="E20" s="2">
        <v>93.3</v>
      </c>
      <c r="F20" s="2">
        <v>62.9</v>
      </c>
      <c r="G20" s="2" t="s">
        <v>26</v>
      </c>
      <c r="H20" t="str">
        <f t="shared" si="0"/>
        <v>Engineering</v>
      </c>
      <c r="I20" t="str">
        <f t="shared" si="1"/>
        <v>Good Standing</v>
      </c>
      <c r="J20" t="str">
        <f t="shared" si="2"/>
        <v>Good Standing</v>
      </c>
      <c r="K20" t="str">
        <f t="shared" si="3"/>
        <v>Good Standing</v>
      </c>
      <c r="L20" t="str">
        <f t="shared" si="4"/>
        <v>Engineering</v>
      </c>
    </row>
    <row r="21" spans="1:12">
      <c r="A21" s="2" t="s">
        <v>175</v>
      </c>
      <c r="B21" s="2" t="s">
        <v>30</v>
      </c>
      <c r="C21" s="2">
        <v>75.400000000000006</v>
      </c>
      <c r="D21" s="2">
        <v>58.6</v>
      </c>
      <c r="E21" s="2">
        <v>92.1</v>
      </c>
      <c r="F21" s="2">
        <v>74.2</v>
      </c>
      <c r="G21" s="2" t="s">
        <v>26</v>
      </c>
      <c r="H21" t="str">
        <f t="shared" si="0"/>
        <v>Computer Science</v>
      </c>
      <c r="I21" t="str">
        <f t="shared" si="1"/>
        <v>Good Standing</v>
      </c>
      <c r="J21" t="str">
        <f t="shared" si="2"/>
        <v>Good Standing</v>
      </c>
      <c r="K21" t="str">
        <f t="shared" si="3"/>
        <v>Good Standing</v>
      </c>
      <c r="L21" t="str">
        <f t="shared" si="4"/>
        <v>Computer Science</v>
      </c>
    </row>
    <row r="22" spans="1:12">
      <c r="A22" s="2" t="s">
        <v>53</v>
      </c>
      <c r="B22" s="2" t="s">
        <v>24</v>
      </c>
      <c r="C22" s="2">
        <v>79.7</v>
      </c>
      <c r="D22" s="2">
        <v>91.4</v>
      </c>
      <c r="E22" s="2">
        <v>91.7</v>
      </c>
      <c r="F22" s="2">
        <v>70.400000000000006</v>
      </c>
      <c r="G22" s="2" t="s">
        <v>26</v>
      </c>
      <c r="H22" t="str">
        <f t="shared" si="0"/>
        <v>Business Administration</v>
      </c>
      <c r="I22" t="str">
        <f t="shared" si="1"/>
        <v>Good Standing</v>
      </c>
      <c r="J22" t="str">
        <f t="shared" si="2"/>
        <v>Good Standing</v>
      </c>
      <c r="K22" t="str">
        <f t="shared" si="3"/>
        <v>Good Standing</v>
      </c>
      <c r="L22" t="str">
        <f t="shared" si="4"/>
        <v>Business Administration</v>
      </c>
    </row>
    <row r="23" spans="1:12">
      <c r="A23" s="2" t="s">
        <v>243</v>
      </c>
      <c r="B23" s="2" t="s">
        <v>30</v>
      </c>
      <c r="C23" s="2">
        <v>78.599999999999994</v>
      </c>
      <c r="D23" s="2">
        <v>73.8</v>
      </c>
      <c r="E23" s="2">
        <v>91.4</v>
      </c>
      <c r="F23" s="2">
        <v>95.9</v>
      </c>
      <c r="G23" s="2" t="s">
        <v>26</v>
      </c>
      <c r="H23" t="str">
        <f t="shared" si="0"/>
        <v>Computer Science</v>
      </c>
      <c r="I23" t="str">
        <f t="shared" si="1"/>
        <v>Good Standing</v>
      </c>
      <c r="J23" t="str">
        <f t="shared" si="2"/>
        <v>Good Standing</v>
      </c>
      <c r="K23" t="str">
        <f t="shared" si="3"/>
        <v>Good Standing</v>
      </c>
      <c r="L23" t="str">
        <f t="shared" si="4"/>
        <v>Computer Science</v>
      </c>
    </row>
    <row r="24" spans="1:12">
      <c r="A24" s="2" t="s">
        <v>212</v>
      </c>
      <c r="B24" s="2" t="s">
        <v>21</v>
      </c>
      <c r="C24" s="2">
        <v>84.8</v>
      </c>
      <c r="D24" s="2">
        <v>86.2</v>
      </c>
      <c r="E24" s="2">
        <v>91.2</v>
      </c>
      <c r="F24" s="2">
        <v>60.8</v>
      </c>
      <c r="G24" s="2" t="s">
        <v>26</v>
      </c>
      <c r="H24" t="str">
        <f t="shared" si="0"/>
        <v>Public Health</v>
      </c>
      <c r="I24" t="str">
        <f t="shared" si="1"/>
        <v>Good Standing</v>
      </c>
      <c r="J24" t="str">
        <f t="shared" si="2"/>
        <v>Good Standing</v>
      </c>
      <c r="K24" t="str">
        <f t="shared" si="3"/>
        <v>Good Standing</v>
      </c>
      <c r="L24" t="str">
        <f t="shared" si="4"/>
        <v>Public Health</v>
      </c>
    </row>
    <row r="25" spans="1:12">
      <c r="A25" s="2" t="s">
        <v>317</v>
      </c>
      <c r="B25" s="2" t="s">
        <v>24</v>
      </c>
      <c r="C25" s="2">
        <v>74.599999999999994</v>
      </c>
      <c r="D25" s="2">
        <v>65.900000000000006</v>
      </c>
      <c r="E25" s="2">
        <v>90.9</v>
      </c>
      <c r="F25" s="2">
        <v>49.6</v>
      </c>
      <c r="G25" s="2" t="s">
        <v>26</v>
      </c>
      <c r="H25" t="str">
        <f t="shared" si="0"/>
        <v>Business Administration</v>
      </c>
      <c r="I25" t="str">
        <f t="shared" si="1"/>
        <v>Good Standing</v>
      </c>
      <c r="J25" t="str">
        <f t="shared" si="2"/>
        <v>Good Standing</v>
      </c>
      <c r="K25" t="str">
        <f t="shared" si="3"/>
        <v>Good Standing</v>
      </c>
      <c r="L25" t="str">
        <f t="shared" si="4"/>
        <v>Business Administration</v>
      </c>
    </row>
    <row r="26" spans="1:12">
      <c r="A26" s="2" t="s">
        <v>256</v>
      </c>
      <c r="B26" s="2" t="s">
        <v>46</v>
      </c>
      <c r="C26" s="2">
        <v>67.3</v>
      </c>
      <c r="D26" s="2">
        <v>81.599999999999994</v>
      </c>
      <c r="E26" s="2">
        <v>90.8</v>
      </c>
      <c r="F26" s="2">
        <v>84.6</v>
      </c>
      <c r="G26" s="2" t="s">
        <v>26</v>
      </c>
      <c r="H26" t="str">
        <f t="shared" si="0"/>
        <v>Economics</v>
      </c>
      <c r="I26" t="str">
        <f t="shared" si="1"/>
        <v>Good Standing</v>
      </c>
      <c r="J26" t="str">
        <f t="shared" si="2"/>
        <v>Good Standing</v>
      </c>
      <c r="K26" t="str">
        <f t="shared" si="3"/>
        <v>Good Standing</v>
      </c>
      <c r="L26" t="str">
        <f t="shared" si="4"/>
        <v>Economics</v>
      </c>
    </row>
    <row r="27" spans="1:12">
      <c r="A27" s="2" t="s">
        <v>317</v>
      </c>
      <c r="B27" s="2" t="s">
        <v>46</v>
      </c>
      <c r="C27" s="2">
        <v>90.7</v>
      </c>
      <c r="D27" s="2">
        <v>55</v>
      </c>
      <c r="E27" s="2">
        <v>89.8</v>
      </c>
      <c r="F27" s="2">
        <v>80.7</v>
      </c>
      <c r="G27" s="2" t="s">
        <v>26</v>
      </c>
      <c r="H27" t="str">
        <f t="shared" si="0"/>
        <v>Economics</v>
      </c>
      <c r="I27" t="str">
        <f t="shared" si="1"/>
        <v>Good Standing</v>
      </c>
      <c r="J27" t="str">
        <f t="shared" si="2"/>
        <v>Good Standing</v>
      </c>
      <c r="K27" t="str">
        <f t="shared" si="3"/>
        <v>Good Standing</v>
      </c>
      <c r="L27" t="str">
        <f t="shared" si="4"/>
        <v>Economics</v>
      </c>
    </row>
    <row r="28" spans="1:12">
      <c r="A28" s="2" t="s">
        <v>143</v>
      </c>
      <c r="B28" s="2" t="s">
        <v>21</v>
      </c>
      <c r="C28" s="2">
        <v>74.900000000000006</v>
      </c>
      <c r="D28" s="2">
        <v>55.3</v>
      </c>
      <c r="E28" s="2">
        <v>89.7</v>
      </c>
      <c r="F28" s="2">
        <v>114</v>
      </c>
      <c r="G28" s="2" t="s">
        <v>22</v>
      </c>
      <c r="H28" t="str">
        <f t="shared" si="0"/>
        <v>Public Health</v>
      </c>
      <c r="I28" t="str">
        <f t="shared" si="1"/>
        <v>At Risk</v>
      </c>
      <c r="J28" t="str">
        <f t="shared" si="2"/>
        <v>At Risk</v>
      </c>
      <c r="K28" t="str">
        <f t="shared" si="3"/>
        <v>At Risk</v>
      </c>
      <c r="L28" t="str">
        <f t="shared" si="4"/>
        <v>Public Health</v>
      </c>
    </row>
    <row r="29" spans="1:12">
      <c r="A29" s="2" t="s">
        <v>33</v>
      </c>
      <c r="B29" s="2" t="s">
        <v>34</v>
      </c>
      <c r="C29" s="2">
        <v>73.400000000000006</v>
      </c>
      <c r="D29" s="2">
        <v>77.7</v>
      </c>
      <c r="E29" s="2">
        <v>89.4</v>
      </c>
      <c r="F29" s="2">
        <v>46.4</v>
      </c>
      <c r="G29" s="2" t="s">
        <v>26</v>
      </c>
      <c r="H29" t="str">
        <f t="shared" si="0"/>
        <v>Data Science</v>
      </c>
      <c r="I29" t="str">
        <f t="shared" si="1"/>
        <v>Good Standing</v>
      </c>
      <c r="J29" t="str">
        <f t="shared" si="2"/>
        <v>Good Standing</v>
      </c>
      <c r="K29" t="str">
        <f t="shared" si="3"/>
        <v>Good Standing</v>
      </c>
      <c r="L29" t="str">
        <f t="shared" si="4"/>
        <v>Data Science</v>
      </c>
    </row>
    <row r="30" spans="1:12">
      <c r="A30" s="2" t="s">
        <v>136</v>
      </c>
      <c r="B30" s="2" t="s">
        <v>34</v>
      </c>
      <c r="C30" s="2">
        <v>87.2</v>
      </c>
      <c r="D30" s="2">
        <v>68</v>
      </c>
      <c r="E30" s="2">
        <v>88.8</v>
      </c>
      <c r="F30" s="2">
        <v>71.543880000000001</v>
      </c>
      <c r="G30" s="2" t="s">
        <v>26</v>
      </c>
      <c r="H30" t="str">
        <f t="shared" si="0"/>
        <v>Data Science</v>
      </c>
      <c r="I30" t="str">
        <f t="shared" si="1"/>
        <v>Good Standing</v>
      </c>
      <c r="J30" t="str">
        <f t="shared" si="2"/>
        <v>Good Standing</v>
      </c>
      <c r="K30" t="str">
        <f t="shared" si="3"/>
        <v>Good Standing</v>
      </c>
      <c r="L30" t="str">
        <f t="shared" si="4"/>
        <v>Data Science</v>
      </c>
    </row>
    <row r="31" spans="1:12">
      <c r="A31" s="2" t="s">
        <v>188</v>
      </c>
      <c r="B31" s="2" t="s">
        <v>24</v>
      </c>
      <c r="C31" s="2">
        <v>-5</v>
      </c>
      <c r="D31" s="2">
        <v>70.400000000000006</v>
      </c>
      <c r="E31" s="2">
        <v>88.7</v>
      </c>
      <c r="F31" s="2">
        <v>76.400000000000006</v>
      </c>
      <c r="G31" s="2" t="s">
        <v>26</v>
      </c>
      <c r="H31" t="str">
        <f t="shared" si="0"/>
        <v>Business Administration</v>
      </c>
      <c r="I31" t="str">
        <f t="shared" si="1"/>
        <v>Good Standing</v>
      </c>
      <c r="J31" t="str">
        <f t="shared" si="2"/>
        <v>Good Standing</v>
      </c>
      <c r="K31" t="str">
        <f t="shared" si="3"/>
        <v>Good Standing</v>
      </c>
      <c r="L31" t="str">
        <f t="shared" si="4"/>
        <v>Business Administration</v>
      </c>
    </row>
    <row r="32" spans="1:12">
      <c r="A32" s="2" t="s">
        <v>204</v>
      </c>
      <c r="B32" s="2" t="s">
        <v>30</v>
      </c>
      <c r="C32" s="2">
        <v>70.7</v>
      </c>
      <c r="D32" s="2">
        <v>52.3</v>
      </c>
      <c r="E32" s="2">
        <v>88.7</v>
      </c>
      <c r="F32" s="2">
        <v>83</v>
      </c>
      <c r="G32" s="2" t="s">
        <v>22</v>
      </c>
      <c r="H32" t="str">
        <f t="shared" si="0"/>
        <v>Computer Science</v>
      </c>
      <c r="I32" t="str">
        <f t="shared" si="1"/>
        <v>At Risk</v>
      </c>
      <c r="J32" t="str">
        <f t="shared" si="2"/>
        <v>At Risk</v>
      </c>
      <c r="K32" t="str">
        <f t="shared" si="3"/>
        <v>At Risk</v>
      </c>
      <c r="L32" t="str">
        <f t="shared" si="4"/>
        <v>Computer Science</v>
      </c>
    </row>
    <row r="33" spans="1:12">
      <c r="A33" s="2" t="s">
        <v>51</v>
      </c>
      <c r="B33" s="2" t="s">
        <v>34</v>
      </c>
      <c r="C33" s="2">
        <v>63.2</v>
      </c>
      <c r="D33" s="2">
        <v>51.3</v>
      </c>
      <c r="E33" s="2">
        <v>88.6</v>
      </c>
      <c r="F33" s="2">
        <v>97.8</v>
      </c>
      <c r="G33" s="2" t="s">
        <v>91</v>
      </c>
      <c r="H33" t="str">
        <f t="shared" si="0"/>
        <v>Data Science</v>
      </c>
      <c r="I33" t="str">
        <f t="shared" si="1"/>
        <v>Unknown</v>
      </c>
      <c r="J33" t="str">
        <f t="shared" si="2"/>
        <v>Unknown</v>
      </c>
      <c r="K33" t="str">
        <f t="shared" si="3"/>
        <v>Unknown</v>
      </c>
      <c r="L33" t="str">
        <f t="shared" si="4"/>
        <v>Data Science</v>
      </c>
    </row>
    <row r="34" spans="1:12">
      <c r="A34" s="2" t="s">
        <v>315</v>
      </c>
      <c r="B34" s="2" t="s">
        <v>28</v>
      </c>
      <c r="C34" s="2">
        <v>63.5</v>
      </c>
      <c r="D34" s="2">
        <v>76.400000000000006</v>
      </c>
      <c r="E34" s="2">
        <v>88.6</v>
      </c>
      <c r="F34" s="2">
        <v>71.543880000000001</v>
      </c>
      <c r="G34" s="2" t="s">
        <v>26</v>
      </c>
      <c r="H34" t="str">
        <f t="shared" si="0"/>
        <v>Engineering</v>
      </c>
      <c r="I34" t="str">
        <f t="shared" si="1"/>
        <v>Good Standing</v>
      </c>
      <c r="J34" t="str">
        <f t="shared" si="2"/>
        <v>Good Standing</v>
      </c>
      <c r="K34" t="str">
        <f t="shared" si="3"/>
        <v>Good Standing</v>
      </c>
      <c r="L34" t="str">
        <f t="shared" si="4"/>
        <v>Engineering</v>
      </c>
    </row>
    <row r="35" spans="1:12">
      <c r="A35" s="2" t="s">
        <v>180</v>
      </c>
      <c r="B35" s="2" t="s">
        <v>91</v>
      </c>
      <c r="C35" s="2">
        <v>68.5</v>
      </c>
      <c r="D35" s="2">
        <v>57</v>
      </c>
      <c r="E35" s="2">
        <v>88.3</v>
      </c>
      <c r="F35" s="2">
        <v>77.599999999999994</v>
      </c>
      <c r="G35" s="2" t="s">
        <v>26</v>
      </c>
      <c r="H35" t="str">
        <f t="shared" si="0"/>
        <v>Unknown</v>
      </c>
      <c r="I35" t="str">
        <f t="shared" si="1"/>
        <v>Good Standing</v>
      </c>
      <c r="J35" t="str">
        <f t="shared" si="2"/>
        <v>Good Standing</v>
      </c>
      <c r="K35" t="str">
        <f t="shared" si="3"/>
        <v>Good Standing</v>
      </c>
      <c r="L35" t="str">
        <f t="shared" si="4"/>
        <v>Unknown</v>
      </c>
    </row>
    <row r="36" spans="1:12">
      <c r="A36" s="2" t="s">
        <v>259</v>
      </c>
      <c r="B36" s="2" t="s">
        <v>24</v>
      </c>
      <c r="C36" s="2">
        <v>73.2</v>
      </c>
      <c r="D36" s="2">
        <v>67</v>
      </c>
      <c r="E36" s="2">
        <v>88.2</v>
      </c>
      <c r="F36" s="2">
        <v>78</v>
      </c>
      <c r="G36" s="2" t="s">
        <v>26</v>
      </c>
      <c r="H36" t="str">
        <f t="shared" si="0"/>
        <v>Business Administration</v>
      </c>
      <c r="I36" t="str">
        <f t="shared" si="1"/>
        <v>Good Standing</v>
      </c>
      <c r="J36" t="str">
        <f t="shared" si="2"/>
        <v>Good Standing</v>
      </c>
      <c r="K36" t="str">
        <f t="shared" si="3"/>
        <v>Good Standing</v>
      </c>
      <c r="L36" t="str">
        <f t="shared" si="4"/>
        <v>Business Administration</v>
      </c>
    </row>
    <row r="37" spans="1:12">
      <c r="A37" s="2" t="s">
        <v>103</v>
      </c>
      <c r="B37" s="2" t="s">
        <v>34</v>
      </c>
      <c r="C37" s="2">
        <v>74.7</v>
      </c>
      <c r="D37" s="2">
        <v>51.5</v>
      </c>
      <c r="E37" s="2">
        <v>87.8</v>
      </c>
      <c r="F37" s="2">
        <v>111</v>
      </c>
      <c r="G37" s="2" t="s">
        <v>26</v>
      </c>
      <c r="H37" t="str">
        <f t="shared" si="0"/>
        <v>Data Science</v>
      </c>
      <c r="I37" t="str">
        <f t="shared" si="1"/>
        <v>Good Standing</v>
      </c>
      <c r="J37" t="str">
        <f t="shared" si="2"/>
        <v>Good Standing</v>
      </c>
      <c r="K37" t="str">
        <f t="shared" si="3"/>
        <v>Good Standing</v>
      </c>
      <c r="L37" t="str">
        <f t="shared" si="4"/>
        <v>Data Science</v>
      </c>
    </row>
    <row r="38" spans="1:12">
      <c r="A38" s="2" t="s">
        <v>171</v>
      </c>
      <c r="B38" s="2" t="s">
        <v>24</v>
      </c>
      <c r="C38" s="2">
        <v>65</v>
      </c>
      <c r="D38" s="2">
        <v>84.9</v>
      </c>
      <c r="E38" s="2">
        <v>87.5</v>
      </c>
      <c r="F38" s="2">
        <v>89.8</v>
      </c>
      <c r="G38" s="2" t="s">
        <v>26</v>
      </c>
      <c r="H38" t="str">
        <f t="shared" si="0"/>
        <v>Business Administration</v>
      </c>
      <c r="I38" t="str">
        <f t="shared" si="1"/>
        <v>Good Standing</v>
      </c>
      <c r="J38" t="str">
        <f t="shared" si="2"/>
        <v>Good Standing</v>
      </c>
      <c r="K38" t="str">
        <f t="shared" si="3"/>
        <v>Good Standing</v>
      </c>
      <c r="L38" t="str">
        <f t="shared" si="4"/>
        <v>Business Administration</v>
      </c>
    </row>
    <row r="39" spans="1:12">
      <c r="A39" s="2" t="s">
        <v>303</v>
      </c>
      <c r="B39" s="2" t="s">
        <v>28</v>
      </c>
      <c r="C39" s="2">
        <v>70.7</v>
      </c>
      <c r="D39" s="2">
        <v>70.3</v>
      </c>
      <c r="E39" s="2">
        <v>87.1</v>
      </c>
      <c r="F39" s="2">
        <v>77.599999999999994</v>
      </c>
      <c r="G39" s="2" t="s">
        <v>26</v>
      </c>
      <c r="H39" t="str">
        <f t="shared" si="0"/>
        <v>Engineering</v>
      </c>
      <c r="I39" t="str">
        <f t="shared" si="1"/>
        <v>Good Standing</v>
      </c>
      <c r="J39" t="str">
        <f t="shared" si="2"/>
        <v>Good Standing</v>
      </c>
      <c r="K39" t="str">
        <f t="shared" si="3"/>
        <v>Good Standing</v>
      </c>
      <c r="L39" t="str">
        <f t="shared" si="4"/>
        <v>Engineering</v>
      </c>
    </row>
    <row r="40" spans="1:12">
      <c r="A40" s="2" t="s">
        <v>40</v>
      </c>
      <c r="B40" s="2" t="s">
        <v>34</v>
      </c>
      <c r="C40" s="2">
        <v>83.9</v>
      </c>
      <c r="D40" s="2">
        <v>49.6</v>
      </c>
      <c r="E40" s="2">
        <v>86.8</v>
      </c>
      <c r="F40" s="2">
        <v>67</v>
      </c>
      <c r="G40" s="2" t="s">
        <v>91</v>
      </c>
      <c r="H40" t="str">
        <f t="shared" si="0"/>
        <v>Data Science</v>
      </c>
      <c r="I40" t="str">
        <f t="shared" si="1"/>
        <v>Unknown</v>
      </c>
      <c r="J40" t="str">
        <f t="shared" si="2"/>
        <v>Unknown</v>
      </c>
      <c r="K40" t="str">
        <f t="shared" si="3"/>
        <v>Unknown</v>
      </c>
      <c r="L40" t="str">
        <f t="shared" si="4"/>
        <v>Data Science</v>
      </c>
    </row>
    <row r="41" spans="1:12">
      <c r="A41" s="2" t="s">
        <v>86</v>
      </c>
      <c r="B41" s="2" t="s">
        <v>30</v>
      </c>
      <c r="C41" s="2">
        <v>86.9</v>
      </c>
      <c r="D41" s="2">
        <v>77.400000000000006</v>
      </c>
      <c r="E41" s="2">
        <v>86.7</v>
      </c>
      <c r="F41" s="2">
        <v>63.1</v>
      </c>
      <c r="G41" s="2" t="s">
        <v>26</v>
      </c>
      <c r="H41" t="str">
        <f t="shared" si="0"/>
        <v>Computer Science</v>
      </c>
      <c r="I41" t="str">
        <f t="shared" si="1"/>
        <v>Good Standing</v>
      </c>
      <c r="J41" t="str">
        <f t="shared" si="2"/>
        <v>Good Standing</v>
      </c>
      <c r="K41" t="str">
        <f t="shared" si="3"/>
        <v>Good Standing</v>
      </c>
      <c r="L41" t="str">
        <f t="shared" si="4"/>
        <v>Computer Science</v>
      </c>
    </row>
    <row r="42" spans="1:12">
      <c r="A42" s="2" t="s">
        <v>99</v>
      </c>
      <c r="B42" s="2" t="s">
        <v>30</v>
      </c>
      <c r="C42" s="2">
        <v>86.7</v>
      </c>
      <c r="D42" s="2">
        <v>69.8</v>
      </c>
      <c r="E42" s="2">
        <v>86.4</v>
      </c>
      <c r="F42" s="2">
        <v>54.6</v>
      </c>
      <c r="G42" s="2" t="s">
        <v>22</v>
      </c>
      <c r="H42" t="str">
        <f t="shared" si="0"/>
        <v>Computer Science</v>
      </c>
      <c r="I42" t="str">
        <f t="shared" si="1"/>
        <v>At Risk</v>
      </c>
      <c r="J42" t="str">
        <f t="shared" si="2"/>
        <v>At Risk</v>
      </c>
      <c r="K42" t="str">
        <f t="shared" si="3"/>
        <v>At Risk</v>
      </c>
      <c r="L42" t="str">
        <f t="shared" si="4"/>
        <v>Computer Science</v>
      </c>
    </row>
    <row r="43" spans="1:12">
      <c r="A43" s="2" t="s">
        <v>106</v>
      </c>
      <c r="B43" s="2" t="s">
        <v>28</v>
      </c>
      <c r="C43" s="2">
        <v>91.5</v>
      </c>
      <c r="D43" s="2">
        <v>75.8</v>
      </c>
      <c r="E43" s="2">
        <v>86.3</v>
      </c>
      <c r="F43" s="2">
        <v>87.5</v>
      </c>
      <c r="G43" s="2" t="s">
        <v>91</v>
      </c>
      <c r="H43" t="str">
        <f t="shared" si="0"/>
        <v>Engineering</v>
      </c>
      <c r="I43" t="str">
        <f t="shared" si="1"/>
        <v>Unknown</v>
      </c>
      <c r="J43" t="str">
        <f t="shared" si="2"/>
        <v>Unknown</v>
      </c>
      <c r="K43" t="str">
        <f t="shared" si="3"/>
        <v>Unknown</v>
      </c>
      <c r="L43" t="str">
        <f t="shared" si="4"/>
        <v>Engineering</v>
      </c>
    </row>
    <row r="44" spans="1:12">
      <c r="A44" s="2" t="s">
        <v>142</v>
      </c>
      <c r="B44" s="2" t="s">
        <v>24</v>
      </c>
      <c r="C44" s="2">
        <v>71.8</v>
      </c>
      <c r="D44" s="2">
        <v>64.599999999999994</v>
      </c>
      <c r="E44" s="2">
        <v>86</v>
      </c>
      <c r="F44" s="2">
        <v>71.3</v>
      </c>
      <c r="G44" s="2" t="s">
        <v>22</v>
      </c>
      <c r="H44" t="str">
        <f t="shared" si="0"/>
        <v>Business Administration</v>
      </c>
      <c r="I44" t="str">
        <f t="shared" si="1"/>
        <v>At Risk</v>
      </c>
      <c r="J44" t="str">
        <f t="shared" si="2"/>
        <v>At Risk</v>
      </c>
      <c r="K44" t="str">
        <f t="shared" si="3"/>
        <v>At Risk</v>
      </c>
      <c r="L44" t="str">
        <f t="shared" si="4"/>
        <v>Business Administration</v>
      </c>
    </row>
    <row r="45" spans="1:12">
      <c r="A45" s="2" t="s">
        <v>79</v>
      </c>
      <c r="B45" s="2" t="s">
        <v>46</v>
      </c>
      <c r="C45" s="2">
        <v>75.8</v>
      </c>
      <c r="D45" s="2">
        <v>70.599999999999994</v>
      </c>
      <c r="E45" s="2">
        <v>85.9</v>
      </c>
      <c r="F45" s="2">
        <v>72.7</v>
      </c>
      <c r="G45" s="2" t="s">
        <v>26</v>
      </c>
      <c r="H45" t="str">
        <f t="shared" si="0"/>
        <v>Economics</v>
      </c>
      <c r="I45" t="str">
        <f t="shared" si="1"/>
        <v>Good Standing</v>
      </c>
      <c r="J45" t="str">
        <f t="shared" si="2"/>
        <v>Good Standing</v>
      </c>
      <c r="K45" t="str">
        <f t="shared" si="3"/>
        <v>Good Standing</v>
      </c>
      <c r="L45" t="str">
        <f t="shared" si="4"/>
        <v>Economics</v>
      </c>
    </row>
    <row r="46" spans="1:12">
      <c r="A46" s="2" t="s">
        <v>128</v>
      </c>
      <c r="B46" s="2" t="s">
        <v>28</v>
      </c>
      <c r="C46" s="2">
        <v>99.9</v>
      </c>
      <c r="D46" s="2">
        <v>70.900000000000006</v>
      </c>
      <c r="E46" s="2">
        <v>85.9</v>
      </c>
      <c r="F46" s="2">
        <v>54.9</v>
      </c>
      <c r="G46" s="2" t="s">
        <v>26</v>
      </c>
      <c r="H46" t="str">
        <f t="shared" si="0"/>
        <v>Engineering</v>
      </c>
      <c r="I46" t="str">
        <f t="shared" si="1"/>
        <v>Good Standing</v>
      </c>
      <c r="J46" t="str">
        <f t="shared" si="2"/>
        <v>Good Standing</v>
      </c>
      <c r="K46" t="str">
        <f t="shared" si="3"/>
        <v>Good Standing</v>
      </c>
      <c r="L46" t="str">
        <f t="shared" si="4"/>
        <v>Engineering</v>
      </c>
    </row>
    <row r="47" spans="1:12">
      <c r="A47" s="2" t="s">
        <v>131</v>
      </c>
      <c r="B47" s="2" t="s">
        <v>28</v>
      </c>
      <c r="C47" s="2">
        <v>70</v>
      </c>
      <c r="D47" s="2">
        <v>53.4</v>
      </c>
      <c r="E47" s="2">
        <v>85.6</v>
      </c>
      <c r="F47" s="2">
        <v>59.1</v>
      </c>
      <c r="G47" s="2" t="s">
        <v>26</v>
      </c>
      <c r="H47" t="str">
        <f t="shared" si="0"/>
        <v>Engineering</v>
      </c>
      <c r="I47" t="str">
        <f t="shared" si="1"/>
        <v>Good Standing</v>
      </c>
      <c r="J47" t="str">
        <f t="shared" si="2"/>
        <v>Good Standing</v>
      </c>
      <c r="K47" t="str">
        <f t="shared" si="3"/>
        <v>Good Standing</v>
      </c>
      <c r="L47" t="str">
        <f t="shared" si="4"/>
        <v>Engineering</v>
      </c>
    </row>
    <row r="48" spans="1:12">
      <c r="A48" s="2" t="s">
        <v>220</v>
      </c>
      <c r="B48" s="2" t="s">
        <v>34</v>
      </c>
      <c r="C48" s="2">
        <v>85.1</v>
      </c>
      <c r="D48" s="2">
        <v>78.2</v>
      </c>
      <c r="E48" s="2">
        <v>85.5</v>
      </c>
      <c r="F48" s="2">
        <v>67.400000000000006</v>
      </c>
      <c r="G48" s="2" t="s">
        <v>26</v>
      </c>
      <c r="H48" t="str">
        <f t="shared" si="0"/>
        <v>Data Science</v>
      </c>
      <c r="I48" t="str">
        <f t="shared" si="1"/>
        <v>Good Standing</v>
      </c>
      <c r="J48" t="str">
        <f t="shared" si="2"/>
        <v>Good Standing</v>
      </c>
      <c r="K48" t="str">
        <f t="shared" si="3"/>
        <v>Good Standing</v>
      </c>
      <c r="L48" t="str">
        <f t="shared" si="4"/>
        <v>Data Science</v>
      </c>
    </row>
    <row r="49" spans="1:12">
      <c r="A49" s="2" t="s">
        <v>311</v>
      </c>
      <c r="B49" s="2" t="s">
        <v>30</v>
      </c>
      <c r="C49" s="2">
        <v>65.3</v>
      </c>
      <c r="D49" s="2">
        <v>92.9</v>
      </c>
      <c r="E49" s="2">
        <v>85.4</v>
      </c>
      <c r="F49" s="2">
        <v>68.2</v>
      </c>
      <c r="G49" s="2" t="s">
        <v>26</v>
      </c>
      <c r="H49" t="str">
        <f t="shared" si="0"/>
        <v>Computer Science</v>
      </c>
      <c r="I49" t="str">
        <f t="shared" si="1"/>
        <v>Good Standing</v>
      </c>
      <c r="J49" t="str">
        <f t="shared" si="2"/>
        <v>Good Standing</v>
      </c>
      <c r="K49" t="str">
        <f t="shared" si="3"/>
        <v>Good Standing</v>
      </c>
      <c r="L49" t="str">
        <f t="shared" si="4"/>
        <v>Computer Science</v>
      </c>
    </row>
    <row r="50" spans="1:12">
      <c r="A50" s="2" t="s">
        <v>50</v>
      </c>
      <c r="B50" s="2" t="s">
        <v>34</v>
      </c>
      <c r="C50" s="2">
        <v>84.4</v>
      </c>
      <c r="D50" s="2">
        <v>82</v>
      </c>
      <c r="E50" s="2">
        <v>85.2</v>
      </c>
      <c r="F50" s="2">
        <v>100</v>
      </c>
      <c r="G50" s="2" t="s">
        <v>26</v>
      </c>
      <c r="H50" t="str">
        <f t="shared" si="0"/>
        <v>Data Science</v>
      </c>
      <c r="I50" t="str">
        <f t="shared" si="1"/>
        <v>Good Standing</v>
      </c>
      <c r="J50" t="str">
        <f t="shared" si="2"/>
        <v>Good Standing</v>
      </c>
      <c r="K50" t="str">
        <f t="shared" si="3"/>
        <v>Good Standing</v>
      </c>
      <c r="L50" t="str">
        <f t="shared" si="4"/>
        <v>Data Science</v>
      </c>
    </row>
    <row r="51" spans="1:12">
      <c r="A51" s="2" t="s">
        <v>317</v>
      </c>
      <c r="B51" s="2" t="s">
        <v>30</v>
      </c>
      <c r="C51" s="2">
        <v>87.8</v>
      </c>
      <c r="D51" s="2">
        <v>75.099999999999994</v>
      </c>
      <c r="E51" s="2">
        <v>84.7</v>
      </c>
      <c r="F51" s="2">
        <v>80.099999999999994</v>
      </c>
      <c r="G51" s="2" t="s">
        <v>22</v>
      </c>
      <c r="H51" t="str">
        <f t="shared" si="0"/>
        <v>Computer Science</v>
      </c>
      <c r="I51" t="str">
        <f t="shared" si="1"/>
        <v>At Risk</v>
      </c>
      <c r="J51" t="str">
        <f t="shared" si="2"/>
        <v>At Risk</v>
      </c>
      <c r="K51" t="str">
        <f t="shared" si="3"/>
        <v>At Risk</v>
      </c>
      <c r="L51" t="str">
        <f t="shared" si="4"/>
        <v>Computer Science</v>
      </c>
    </row>
    <row r="52" spans="1:12">
      <c r="A52" s="2" t="s">
        <v>168</v>
      </c>
      <c r="B52" s="2" t="s">
        <v>28</v>
      </c>
      <c r="C52" s="2">
        <v>98.5</v>
      </c>
      <c r="D52" s="2">
        <v>60.9</v>
      </c>
      <c r="E52" s="2">
        <v>83.8</v>
      </c>
      <c r="F52" s="2">
        <v>94.9</v>
      </c>
      <c r="G52" s="2" t="s">
        <v>26</v>
      </c>
      <c r="H52" t="str">
        <f t="shared" si="0"/>
        <v>Engineering</v>
      </c>
      <c r="I52" t="str">
        <f t="shared" si="1"/>
        <v>Good Standing</v>
      </c>
      <c r="J52" t="str">
        <f t="shared" si="2"/>
        <v>Good Standing</v>
      </c>
      <c r="K52" t="str">
        <f t="shared" si="3"/>
        <v>Good Standing</v>
      </c>
      <c r="L52" t="str">
        <f t="shared" si="4"/>
        <v>Engineering</v>
      </c>
    </row>
    <row r="53" spans="1:12">
      <c r="A53" s="2" t="s">
        <v>307</v>
      </c>
      <c r="B53" s="2" t="s">
        <v>24</v>
      </c>
      <c r="C53" s="2">
        <v>66.5</v>
      </c>
      <c r="D53" s="2">
        <v>99.1</v>
      </c>
      <c r="E53" s="2">
        <v>83.5</v>
      </c>
      <c r="F53" s="2">
        <v>35.700000000000003</v>
      </c>
      <c r="G53" s="2" t="s">
        <v>26</v>
      </c>
      <c r="H53" t="str">
        <f t="shared" si="0"/>
        <v>Business Administration</v>
      </c>
      <c r="I53" t="str">
        <f t="shared" si="1"/>
        <v>Good Standing</v>
      </c>
      <c r="J53" t="str">
        <f t="shared" si="2"/>
        <v>Good Standing</v>
      </c>
      <c r="K53" t="str">
        <f t="shared" si="3"/>
        <v>Good Standing</v>
      </c>
      <c r="L53" t="str">
        <f t="shared" si="4"/>
        <v>Business Administration</v>
      </c>
    </row>
    <row r="54" spans="1:12">
      <c r="A54" s="2" t="s">
        <v>56</v>
      </c>
      <c r="B54" s="2" t="s">
        <v>30</v>
      </c>
      <c r="C54" s="2">
        <v>48.8</v>
      </c>
      <c r="D54" s="2">
        <v>69.3</v>
      </c>
      <c r="E54" s="2">
        <v>83.2</v>
      </c>
      <c r="F54" s="2">
        <v>81</v>
      </c>
      <c r="G54" s="2" t="s">
        <v>91</v>
      </c>
      <c r="H54" t="str">
        <f t="shared" si="0"/>
        <v>Computer Science</v>
      </c>
      <c r="I54" t="str">
        <f t="shared" si="1"/>
        <v>Unknown</v>
      </c>
      <c r="J54" t="str">
        <f t="shared" si="2"/>
        <v>Unknown</v>
      </c>
      <c r="K54" t="str">
        <f t="shared" si="3"/>
        <v>Unknown</v>
      </c>
      <c r="L54" t="str">
        <f t="shared" si="4"/>
        <v>Computer Science</v>
      </c>
    </row>
    <row r="55" spans="1:12">
      <c r="A55" s="2" t="s">
        <v>152</v>
      </c>
      <c r="B55" s="2" t="s">
        <v>91</v>
      </c>
      <c r="C55" s="2">
        <v>99.4</v>
      </c>
      <c r="D55" s="2">
        <v>76.7</v>
      </c>
      <c r="E55" s="2">
        <v>83.2</v>
      </c>
      <c r="F55" s="2">
        <v>100</v>
      </c>
      <c r="G55" s="2" t="s">
        <v>26</v>
      </c>
      <c r="H55" t="str">
        <f t="shared" si="0"/>
        <v>Unknown</v>
      </c>
      <c r="I55" t="str">
        <f t="shared" si="1"/>
        <v>Good Standing</v>
      </c>
      <c r="J55" t="str">
        <f t="shared" si="2"/>
        <v>Good Standing</v>
      </c>
      <c r="K55" t="str">
        <f t="shared" si="3"/>
        <v>Good Standing</v>
      </c>
      <c r="L55" t="str">
        <f t="shared" si="4"/>
        <v>Unknown</v>
      </c>
    </row>
    <row r="56" spans="1:12">
      <c r="A56" s="2" t="s">
        <v>41</v>
      </c>
      <c r="B56" s="2" t="s">
        <v>91</v>
      </c>
      <c r="C56" s="2">
        <v>98.6</v>
      </c>
      <c r="D56" s="2">
        <v>73.3</v>
      </c>
      <c r="E56" s="2">
        <v>83</v>
      </c>
      <c r="F56" s="2">
        <v>54.1</v>
      </c>
      <c r="G56" s="2" t="s">
        <v>26</v>
      </c>
      <c r="H56" t="str">
        <f t="shared" si="0"/>
        <v>Unknown</v>
      </c>
      <c r="I56" t="str">
        <f t="shared" si="1"/>
        <v>Good Standing</v>
      </c>
      <c r="J56" t="str">
        <f t="shared" si="2"/>
        <v>Good Standing</v>
      </c>
      <c r="K56" t="str">
        <f t="shared" si="3"/>
        <v>Good Standing</v>
      </c>
      <c r="L56" t="str">
        <f t="shared" si="4"/>
        <v>Unknown</v>
      </c>
    </row>
    <row r="57" spans="1:12">
      <c r="A57" s="2" t="s">
        <v>214</v>
      </c>
      <c r="B57" s="2" t="s">
        <v>21</v>
      </c>
      <c r="C57" s="2">
        <v>80.3</v>
      </c>
      <c r="D57" s="2">
        <v>90.3</v>
      </c>
      <c r="E57" s="2">
        <v>82.9</v>
      </c>
      <c r="F57" s="2">
        <v>74.599999999999994</v>
      </c>
      <c r="G57" s="2" t="s">
        <v>26</v>
      </c>
      <c r="H57" t="str">
        <f t="shared" si="0"/>
        <v>Public Health</v>
      </c>
      <c r="I57" t="str">
        <f t="shared" si="1"/>
        <v>Good Standing</v>
      </c>
      <c r="J57" t="str">
        <f t="shared" si="2"/>
        <v>Good Standing</v>
      </c>
      <c r="K57" t="str">
        <f t="shared" si="3"/>
        <v>Good Standing</v>
      </c>
      <c r="L57" t="str">
        <f t="shared" si="4"/>
        <v>Public Health</v>
      </c>
    </row>
    <row r="58" spans="1:12">
      <c r="A58" s="2" t="s">
        <v>231</v>
      </c>
      <c r="B58" s="2" t="s">
        <v>30</v>
      </c>
      <c r="C58" s="2">
        <v>91.8</v>
      </c>
      <c r="D58" s="2">
        <v>65.900000000000006</v>
      </c>
      <c r="E58" s="2">
        <v>82.7</v>
      </c>
      <c r="F58" s="2">
        <v>71.543880000000001</v>
      </c>
      <c r="G58" s="2" t="s">
        <v>26</v>
      </c>
      <c r="H58" t="str">
        <f t="shared" si="0"/>
        <v>Computer Science</v>
      </c>
      <c r="I58" t="str">
        <f t="shared" si="1"/>
        <v>Good Standing</v>
      </c>
      <c r="J58" t="str">
        <f t="shared" si="2"/>
        <v>Good Standing</v>
      </c>
      <c r="K58" t="str">
        <f t="shared" si="3"/>
        <v>Good Standing</v>
      </c>
      <c r="L58" t="str">
        <f t="shared" si="4"/>
        <v>Computer Science</v>
      </c>
    </row>
    <row r="59" spans="1:12">
      <c r="A59" s="2" t="s">
        <v>232</v>
      </c>
      <c r="B59" s="2" t="s">
        <v>30</v>
      </c>
      <c r="C59" s="2">
        <v>97.9</v>
      </c>
      <c r="D59" s="2">
        <v>55.2</v>
      </c>
      <c r="E59" s="2">
        <v>82.5</v>
      </c>
      <c r="F59" s="2">
        <v>50.1</v>
      </c>
      <c r="G59" s="2" t="s">
        <v>26</v>
      </c>
      <c r="H59" t="str">
        <f t="shared" si="0"/>
        <v>Computer Science</v>
      </c>
      <c r="I59" t="str">
        <f t="shared" si="1"/>
        <v>Good Standing</v>
      </c>
      <c r="J59" t="str">
        <f t="shared" si="2"/>
        <v>Good Standing</v>
      </c>
      <c r="K59" t="str">
        <f t="shared" si="3"/>
        <v>Good Standing</v>
      </c>
      <c r="L59" t="str">
        <f t="shared" si="4"/>
        <v>Computer Science</v>
      </c>
    </row>
    <row r="60" spans="1:12">
      <c r="A60" s="2" t="s">
        <v>54</v>
      </c>
      <c r="B60" s="2" t="s">
        <v>30</v>
      </c>
      <c r="C60" s="2">
        <v>85.5</v>
      </c>
      <c r="D60" s="2">
        <v>64.3</v>
      </c>
      <c r="E60" s="2">
        <v>81.8</v>
      </c>
      <c r="F60" s="2">
        <v>68.099999999999994</v>
      </c>
      <c r="G60" s="2" t="s">
        <v>26</v>
      </c>
      <c r="H60" t="str">
        <f t="shared" si="0"/>
        <v>Computer Science</v>
      </c>
      <c r="I60" t="str">
        <f t="shared" si="1"/>
        <v>Good Standing</v>
      </c>
      <c r="J60" t="str">
        <f t="shared" si="2"/>
        <v>Good Standing</v>
      </c>
      <c r="K60" t="str">
        <f t="shared" si="3"/>
        <v>Good Standing</v>
      </c>
      <c r="L60" t="str">
        <f t="shared" si="4"/>
        <v>Computer Science</v>
      </c>
    </row>
    <row r="61" spans="1:12">
      <c r="A61" s="2" t="s">
        <v>194</v>
      </c>
      <c r="B61" s="2" t="s">
        <v>34</v>
      </c>
      <c r="C61" s="2">
        <v>93.5</v>
      </c>
      <c r="D61" s="2">
        <v>65.900000000000006</v>
      </c>
      <c r="E61" s="2">
        <v>81.8</v>
      </c>
      <c r="F61" s="2">
        <v>37.200000000000003</v>
      </c>
      <c r="G61" s="2" t="s">
        <v>26</v>
      </c>
      <c r="H61" t="str">
        <f t="shared" si="0"/>
        <v>Data Science</v>
      </c>
      <c r="I61" t="str">
        <f t="shared" si="1"/>
        <v>Good Standing</v>
      </c>
      <c r="J61" t="str">
        <f t="shared" si="2"/>
        <v>Good Standing</v>
      </c>
      <c r="K61" t="str">
        <f t="shared" si="3"/>
        <v>Good Standing</v>
      </c>
      <c r="L61" t="str">
        <f t="shared" si="4"/>
        <v>Data Science</v>
      </c>
    </row>
    <row r="62" spans="1:12">
      <c r="A62" s="2" t="s">
        <v>294</v>
      </c>
      <c r="B62" s="2" t="s">
        <v>34</v>
      </c>
      <c r="C62" s="2">
        <v>77.3</v>
      </c>
      <c r="D62" s="2">
        <v>74.900000000000006</v>
      </c>
      <c r="E62" s="2">
        <v>81.599999999999994</v>
      </c>
      <c r="F62" s="2">
        <v>62.2</v>
      </c>
      <c r="G62" s="2" t="s">
        <v>26</v>
      </c>
      <c r="H62" t="str">
        <f t="shared" si="0"/>
        <v>Data Science</v>
      </c>
      <c r="I62" t="str">
        <f t="shared" si="1"/>
        <v>Good Standing</v>
      </c>
      <c r="J62" t="str">
        <f t="shared" si="2"/>
        <v>Good Standing</v>
      </c>
      <c r="K62" t="str">
        <f t="shared" si="3"/>
        <v>Good Standing</v>
      </c>
      <c r="L62" t="str">
        <f t="shared" si="4"/>
        <v>Data Science</v>
      </c>
    </row>
    <row r="63" spans="1:12">
      <c r="A63" s="2" t="s">
        <v>57</v>
      </c>
      <c r="B63" s="2" t="s">
        <v>34</v>
      </c>
      <c r="C63" s="2">
        <v>69.400000000000006</v>
      </c>
      <c r="D63" s="2">
        <v>56.1</v>
      </c>
      <c r="E63" s="2">
        <v>81.400000000000006</v>
      </c>
      <c r="F63" s="2">
        <v>71.543880000000001</v>
      </c>
      <c r="G63" s="2" t="s">
        <v>26</v>
      </c>
      <c r="H63" t="str">
        <f t="shared" si="0"/>
        <v>Data Science</v>
      </c>
      <c r="I63" t="str">
        <f t="shared" si="1"/>
        <v>Good Standing</v>
      </c>
      <c r="J63" t="str">
        <f t="shared" si="2"/>
        <v>Good Standing</v>
      </c>
      <c r="K63" t="str">
        <f t="shared" si="3"/>
        <v>Good Standing</v>
      </c>
      <c r="L63" t="str">
        <f t="shared" si="4"/>
        <v>Data Science</v>
      </c>
    </row>
    <row r="64" spans="1:12">
      <c r="A64" s="2" t="s">
        <v>223</v>
      </c>
      <c r="B64" s="2" t="s">
        <v>24</v>
      </c>
      <c r="C64" s="2">
        <v>84.9</v>
      </c>
      <c r="D64" s="2">
        <v>77.2</v>
      </c>
      <c r="E64" s="2">
        <v>81.400000000000006</v>
      </c>
      <c r="F64" s="2">
        <v>68</v>
      </c>
      <c r="G64" s="2" t="s">
        <v>26</v>
      </c>
      <c r="H64" t="str">
        <f t="shared" si="0"/>
        <v>Business Administration</v>
      </c>
      <c r="I64" t="str">
        <f t="shared" si="1"/>
        <v>Good Standing</v>
      </c>
      <c r="J64" t="str">
        <f t="shared" si="2"/>
        <v>Good Standing</v>
      </c>
      <c r="K64" t="str">
        <f t="shared" si="3"/>
        <v>Good Standing</v>
      </c>
      <c r="L64" t="str">
        <f t="shared" si="4"/>
        <v>Business Administration</v>
      </c>
    </row>
    <row r="65" spans="1:12">
      <c r="A65" s="2" t="s">
        <v>58</v>
      </c>
      <c r="B65" s="2" t="s">
        <v>24</v>
      </c>
      <c r="C65" s="2">
        <v>62.8</v>
      </c>
      <c r="D65" s="2">
        <v>80.3</v>
      </c>
      <c r="E65" s="2">
        <v>81.099999999999994</v>
      </c>
      <c r="F65" s="2">
        <v>87.7</v>
      </c>
      <c r="G65" s="2" t="s">
        <v>91</v>
      </c>
      <c r="H65" t="str">
        <f t="shared" si="0"/>
        <v>Business Administration</v>
      </c>
      <c r="I65" t="str">
        <f t="shared" si="1"/>
        <v>Unknown</v>
      </c>
      <c r="J65" t="str">
        <f t="shared" si="2"/>
        <v>Unknown</v>
      </c>
      <c r="K65" t="str">
        <f t="shared" si="3"/>
        <v>Unknown</v>
      </c>
      <c r="L65" t="str">
        <f t="shared" si="4"/>
        <v>Business Administration</v>
      </c>
    </row>
    <row r="66" spans="1:12">
      <c r="A66" s="2" t="s">
        <v>117</v>
      </c>
      <c r="B66" s="2" t="s">
        <v>91</v>
      </c>
      <c r="C66" s="2">
        <v>83.8</v>
      </c>
      <c r="D66" s="2">
        <v>72.900000000000006</v>
      </c>
      <c r="E66" s="2">
        <v>80.900000000000006</v>
      </c>
      <c r="F66" s="2">
        <v>66.5</v>
      </c>
      <c r="G66" s="2" t="s">
        <v>26</v>
      </c>
      <c r="H66" t="str">
        <f t="shared" ref="H66:H129" si="5">IF(OR(TRIM(B66)="",TRIM(B66)="-",TRIM(B66)="Unknown"),"Unknown",IF(UPPER(TRIM(B66))="CS","Computer Science",IF(UPPER(TRIM(B66))="PH","Public Health",PROPER(TRIM(B66)))))</f>
        <v>Unknown</v>
      </c>
      <c r="I66" t="str">
        <f t="shared" si="1"/>
        <v>Good Standing</v>
      </c>
      <c r="J66" t="str">
        <f t="shared" ref="J66:J129" si="6">TRIM(G66)</f>
        <v>Good Standing</v>
      </c>
      <c r="K66" t="str">
        <f t="shared" ref="K66:K129" si="7">TRIM(CLEAN(SUBSTITUTE(G66,CHAR(160)," ")))</f>
        <v>Good Standing</v>
      </c>
      <c r="L66" t="str">
        <f t="shared" ref="L66:L129" si="8">TRIM(CLEAN(SUBSTITUTE(B66,CHAR(160)," ")))</f>
        <v>Unknown</v>
      </c>
    </row>
    <row r="67" spans="1:12">
      <c r="A67" s="2" t="s">
        <v>276</v>
      </c>
      <c r="B67" s="2" t="s">
        <v>24</v>
      </c>
      <c r="C67" s="2">
        <v>92.5</v>
      </c>
      <c r="D67" s="2">
        <v>79.3</v>
      </c>
      <c r="E67" s="2">
        <v>80.599999999999994</v>
      </c>
      <c r="F67" s="2">
        <v>79.3</v>
      </c>
      <c r="G67" s="2" t="s">
        <v>22</v>
      </c>
      <c r="H67" t="str">
        <f t="shared" si="5"/>
        <v>Business Administration</v>
      </c>
      <c r="I67" t="str">
        <f t="shared" ref="I67:I130" si="9">IF(OR(TRIM(G67)="",TRIM(G67)="-",UPPER(TRIM(G67))="UNKNOWN"),"Unknown",IF(OR(UPPER(TRIM(G67))="AR",UPPER(TRIM(G67))="AT RISK"),"At Risk",IF(UPPER(TRIM(G67))="GOOD STANDING","Good Standing","Unknown")))</f>
        <v>At Risk</v>
      </c>
      <c r="J67" t="str">
        <f t="shared" si="6"/>
        <v>At Risk</v>
      </c>
      <c r="K67" t="str">
        <f t="shared" si="7"/>
        <v>At Risk</v>
      </c>
      <c r="L67" t="str">
        <f t="shared" si="8"/>
        <v>Business Administration</v>
      </c>
    </row>
    <row r="68" spans="1:12">
      <c r="A68" s="2" t="s">
        <v>312</v>
      </c>
      <c r="B68" s="2" t="s">
        <v>28</v>
      </c>
      <c r="C68" s="2">
        <v>93.4</v>
      </c>
      <c r="D68" s="2">
        <v>70.2</v>
      </c>
      <c r="E68" s="2">
        <v>80.400000000000006</v>
      </c>
      <c r="F68" s="2">
        <v>91.8</v>
      </c>
      <c r="G68" s="2" t="s">
        <v>26</v>
      </c>
      <c r="H68" t="str">
        <f t="shared" si="5"/>
        <v>Engineering</v>
      </c>
      <c r="I68" t="str">
        <f t="shared" si="9"/>
        <v>Good Standing</v>
      </c>
      <c r="J68" t="str">
        <f t="shared" si="6"/>
        <v>Good Standing</v>
      </c>
      <c r="K68" t="str">
        <f t="shared" si="7"/>
        <v>Good Standing</v>
      </c>
      <c r="L68" t="str">
        <f t="shared" si="8"/>
        <v>Engineering</v>
      </c>
    </row>
    <row r="69" spans="1:12">
      <c r="A69" s="2" t="s">
        <v>167</v>
      </c>
      <c r="B69" s="2" t="s">
        <v>91</v>
      </c>
      <c r="C69" s="2">
        <v>100</v>
      </c>
      <c r="D69" s="2">
        <v>67.400000000000006</v>
      </c>
      <c r="E69" s="2">
        <v>80</v>
      </c>
      <c r="F69" s="2">
        <v>89.4</v>
      </c>
      <c r="G69" s="2" t="s">
        <v>26</v>
      </c>
      <c r="H69" t="str">
        <f t="shared" si="5"/>
        <v>Unknown</v>
      </c>
      <c r="I69" t="str">
        <f t="shared" si="9"/>
        <v>Good Standing</v>
      </c>
      <c r="J69" t="str">
        <f t="shared" si="6"/>
        <v>Good Standing</v>
      </c>
      <c r="K69" t="str">
        <f t="shared" si="7"/>
        <v>Good Standing</v>
      </c>
      <c r="L69" t="str">
        <f t="shared" si="8"/>
        <v>Unknown</v>
      </c>
    </row>
    <row r="70" spans="1:12">
      <c r="A70" s="2" t="s">
        <v>196</v>
      </c>
      <c r="B70" s="2" t="s">
        <v>30</v>
      </c>
      <c r="C70" s="2">
        <v>70</v>
      </c>
      <c r="D70" s="2">
        <v>55.4</v>
      </c>
      <c r="E70" s="2">
        <v>79.8</v>
      </c>
      <c r="F70" s="2">
        <v>68.5</v>
      </c>
      <c r="G70" s="2" t="s">
        <v>26</v>
      </c>
      <c r="H70" t="str">
        <f t="shared" si="5"/>
        <v>Computer Science</v>
      </c>
      <c r="I70" t="str">
        <f t="shared" si="9"/>
        <v>Good Standing</v>
      </c>
      <c r="J70" t="str">
        <f t="shared" si="6"/>
        <v>Good Standing</v>
      </c>
      <c r="K70" t="str">
        <f t="shared" si="7"/>
        <v>Good Standing</v>
      </c>
      <c r="L70" t="str">
        <f t="shared" si="8"/>
        <v>Computer Science</v>
      </c>
    </row>
    <row r="71" spans="1:12">
      <c r="A71" s="2" t="s">
        <v>317</v>
      </c>
      <c r="B71" s="2" t="s">
        <v>46</v>
      </c>
      <c r="C71" s="2">
        <v>77.2</v>
      </c>
      <c r="D71" s="2">
        <v>90.9</v>
      </c>
      <c r="E71" s="2">
        <v>79.7</v>
      </c>
      <c r="F71" s="2">
        <v>61.9</v>
      </c>
      <c r="G71" s="2" t="s">
        <v>26</v>
      </c>
      <c r="H71" t="str">
        <f t="shared" si="5"/>
        <v>Economics</v>
      </c>
      <c r="I71" t="str">
        <f t="shared" si="9"/>
        <v>Good Standing</v>
      </c>
      <c r="J71" t="str">
        <f t="shared" si="6"/>
        <v>Good Standing</v>
      </c>
      <c r="K71" t="str">
        <f t="shared" si="7"/>
        <v>Good Standing</v>
      </c>
      <c r="L71" t="str">
        <f t="shared" si="8"/>
        <v>Economics</v>
      </c>
    </row>
    <row r="72" spans="1:12">
      <c r="A72" s="2" t="s">
        <v>205</v>
      </c>
      <c r="B72" s="2" t="s">
        <v>21</v>
      </c>
      <c r="C72" s="2">
        <v>59.4</v>
      </c>
      <c r="D72" s="2">
        <v>69.8</v>
      </c>
      <c r="E72" s="2">
        <v>79.7</v>
      </c>
      <c r="F72" s="2">
        <v>55.7</v>
      </c>
      <c r="G72" s="2" t="s">
        <v>22</v>
      </c>
      <c r="H72" t="str">
        <f t="shared" si="5"/>
        <v>Public Health</v>
      </c>
      <c r="I72" t="str">
        <f t="shared" si="9"/>
        <v>At Risk</v>
      </c>
      <c r="J72" t="str">
        <f t="shared" si="6"/>
        <v>At Risk</v>
      </c>
      <c r="K72" t="str">
        <f t="shared" si="7"/>
        <v>At Risk</v>
      </c>
      <c r="L72" t="str">
        <f t="shared" si="8"/>
        <v>Public Health</v>
      </c>
    </row>
    <row r="73" spans="1:12">
      <c r="A73" s="2" t="s">
        <v>229</v>
      </c>
      <c r="B73" s="2" t="s">
        <v>46</v>
      </c>
      <c r="C73" s="2">
        <v>-4</v>
      </c>
      <c r="D73" s="2">
        <v>69.8</v>
      </c>
      <c r="E73" s="2">
        <v>79.7</v>
      </c>
      <c r="F73" s="2">
        <v>61.9</v>
      </c>
      <c r="G73" s="2" t="s">
        <v>26</v>
      </c>
      <c r="H73" t="str">
        <f t="shared" si="5"/>
        <v>Economics</v>
      </c>
      <c r="I73" t="str">
        <f t="shared" si="9"/>
        <v>Good Standing</v>
      </c>
      <c r="J73" t="str">
        <f t="shared" si="6"/>
        <v>Good Standing</v>
      </c>
      <c r="K73" t="str">
        <f t="shared" si="7"/>
        <v>Good Standing</v>
      </c>
      <c r="L73" t="str">
        <f t="shared" si="8"/>
        <v>Economics</v>
      </c>
    </row>
    <row r="74" spans="1:12">
      <c r="A74" s="2" t="s">
        <v>55</v>
      </c>
      <c r="B74" s="2" t="s">
        <v>30</v>
      </c>
      <c r="C74" s="2">
        <v>58.7</v>
      </c>
      <c r="D74" s="2">
        <v>60.8</v>
      </c>
      <c r="E74" s="2">
        <v>79.5</v>
      </c>
      <c r="F74" s="2">
        <v>63</v>
      </c>
      <c r="G74" s="2" t="s">
        <v>22</v>
      </c>
      <c r="H74" t="str">
        <f t="shared" si="5"/>
        <v>Computer Science</v>
      </c>
      <c r="I74" t="str">
        <f t="shared" si="9"/>
        <v>At Risk</v>
      </c>
      <c r="J74" t="str">
        <f t="shared" si="6"/>
        <v>At Risk</v>
      </c>
      <c r="K74" t="str">
        <f t="shared" si="7"/>
        <v>At Risk</v>
      </c>
      <c r="L74" t="str">
        <f t="shared" si="8"/>
        <v>Computer Science</v>
      </c>
    </row>
    <row r="75" spans="1:12">
      <c r="A75" s="2" t="s">
        <v>120</v>
      </c>
      <c r="B75" s="2" t="s">
        <v>28</v>
      </c>
      <c r="C75" s="2">
        <v>68.599999999999994</v>
      </c>
      <c r="D75" s="2">
        <v>41.9</v>
      </c>
      <c r="E75" s="2">
        <v>79.3</v>
      </c>
      <c r="F75" s="2">
        <v>52.2</v>
      </c>
      <c r="G75" s="2" t="s">
        <v>26</v>
      </c>
      <c r="H75" t="str">
        <f t="shared" si="5"/>
        <v>Engineering</v>
      </c>
      <c r="I75" t="str">
        <f t="shared" si="9"/>
        <v>Good Standing</v>
      </c>
      <c r="J75" t="str">
        <f t="shared" si="6"/>
        <v>Good Standing</v>
      </c>
      <c r="K75" t="str">
        <f t="shared" si="7"/>
        <v>Good Standing</v>
      </c>
      <c r="L75" t="str">
        <f t="shared" si="8"/>
        <v>Engineering</v>
      </c>
    </row>
    <row r="76" spans="1:12">
      <c r="A76" s="2" t="s">
        <v>44</v>
      </c>
      <c r="B76" s="2" t="s">
        <v>34</v>
      </c>
      <c r="C76" s="2">
        <v>100</v>
      </c>
      <c r="D76" s="2">
        <v>43.6</v>
      </c>
      <c r="E76" s="2">
        <v>79</v>
      </c>
      <c r="F76" s="2">
        <v>85.6</v>
      </c>
      <c r="G76" s="2" t="s">
        <v>26</v>
      </c>
      <c r="H76" t="str">
        <f t="shared" si="5"/>
        <v>Data Science</v>
      </c>
      <c r="I76" t="str">
        <f t="shared" si="9"/>
        <v>Good Standing</v>
      </c>
      <c r="J76" t="str">
        <f t="shared" si="6"/>
        <v>Good Standing</v>
      </c>
      <c r="K76" t="str">
        <f t="shared" si="7"/>
        <v>Good Standing</v>
      </c>
      <c r="L76" t="str">
        <f t="shared" si="8"/>
        <v>Data Science</v>
      </c>
    </row>
    <row r="77" spans="1:12">
      <c r="A77" s="2" t="s">
        <v>317</v>
      </c>
      <c r="B77" s="2" t="s">
        <v>24</v>
      </c>
      <c r="C77" s="2">
        <v>100</v>
      </c>
      <c r="D77" s="2">
        <v>65.8</v>
      </c>
      <c r="E77" s="2">
        <v>79</v>
      </c>
      <c r="F77" s="2">
        <v>67.7</v>
      </c>
      <c r="G77" s="2" t="s">
        <v>22</v>
      </c>
      <c r="H77" t="str">
        <f t="shared" si="5"/>
        <v>Business Administration</v>
      </c>
      <c r="I77" t="str">
        <f t="shared" si="9"/>
        <v>At Risk</v>
      </c>
      <c r="J77" t="str">
        <f t="shared" si="6"/>
        <v>At Risk</v>
      </c>
      <c r="K77" t="str">
        <f t="shared" si="7"/>
        <v>At Risk</v>
      </c>
      <c r="L77" t="str">
        <f t="shared" si="8"/>
        <v>Business Administration</v>
      </c>
    </row>
    <row r="78" spans="1:12">
      <c r="A78" s="2" t="s">
        <v>246</v>
      </c>
      <c r="B78" s="2" t="s">
        <v>46</v>
      </c>
      <c r="C78" s="2">
        <v>83.3</v>
      </c>
      <c r="D78" s="2">
        <v>98.7</v>
      </c>
      <c r="E78" s="2">
        <v>78.7</v>
      </c>
      <c r="F78" s="2">
        <v>71.543880000000001</v>
      </c>
      <c r="G78" s="2" t="s">
        <v>91</v>
      </c>
      <c r="H78" t="str">
        <f t="shared" si="5"/>
        <v>Economics</v>
      </c>
      <c r="I78" t="str">
        <f t="shared" si="9"/>
        <v>Unknown</v>
      </c>
      <c r="J78" t="str">
        <f t="shared" si="6"/>
        <v>Unknown</v>
      </c>
      <c r="K78" t="str">
        <f t="shared" si="7"/>
        <v>Unknown</v>
      </c>
      <c r="L78" t="str">
        <f t="shared" si="8"/>
        <v>Economics</v>
      </c>
    </row>
    <row r="79" spans="1:12">
      <c r="A79" s="2" t="s">
        <v>189</v>
      </c>
      <c r="B79" s="2" t="s">
        <v>24</v>
      </c>
      <c r="C79" s="2">
        <v>91.4</v>
      </c>
      <c r="D79" s="2">
        <v>82</v>
      </c>
      <c r="E79" s="2">
        <v>78.599999999999994</v>
      </c>
      <c r="F79" s="2">
        <v>85.4</v>
      </c>
      <c r="G79" s="2" t="s">
        <v>26</v>
      </c>
      <c r="H79" t="str">
        <f t="shared" si="5"/>
        <v>Business Administration</v>
      </c>
      <c r="I79" t="str">
        <f t="shared" si="9"/>
        <v>Good Standing</v>
      </c>
      <c r="J79" t="str">
        <f t="shared" si="6"/>
        <v>Good Standing</v>
      </c>
      <c r="K79" t="str">
        <f t="shared" si="7"/>
        <v>Good Standing</v>
      </c>
      <c r="L79" t="str">
        <f t="shared" si="8"/>
        <v>Business Administration</v>
      </c>
    </row>
    <row r="80" spans="1:12">
      <c r="A80" s="2" t="s">
        <v>68</v>
      </c>
      <c r="B80" s="2" t="s">
        <v>21</v>
      </c>
      <c r="C80" s="2">
        <v>94.8</v>
      </c>
      <c r="D80" s="2">
        <v>79.099999999999994</v>
      </c>
      <c r="E80" s="2">
        <v>78.5</v>
      </c>
      <c r="F80" s="2">
        <v>62.3</v>
      </c>
      <c r="G80" s="2" t="s">
        <v>26</v>
      </c>
      <c r="H80" t="str">
        <f t="shared" si="5"/>
        <v>Public Health</v>
      </c>
      <c r="I80" t="str">
        <f t="shared" si="9"/>
        <v>Good Standing</v>
      </c>
      <c r="J80" t="str">
        <f t="shared" si="6"/>
        <v>Good Standing</v>
      </c>
      <c r="K80" t="str">
        <f t="shared" si="7"/>
        <v>Good Standing</v>
      </c>
      <c r="L80" t="str">
        <f t="shared" si="8"/>
        <v>Public Health</v>
      </c>
    </row>
    <row r="81" spans="1:12">
      <c r="A81" s="2" t="s">
        <v>163</v>
      </c>
      <c r="B81" s="2" t="s">
        <v>24</v>
      </c>
      <c r="C81" s="2">
        <v>100</v>
      </c>
      <c r="D81" s="2">
        <v>83.4</v>
      </c>
      <c r="E81" s="2">
        <v>78.5</v>
      </c>
      <c r="F81" s="2">
        <v>77.400000000000006</v>
      </c>
      <c r="G81" s="2" t="s">
        <v>26</v>
      </c>
      <c r="H81" t="str">
        <f t="shared" si="5"/>
        <v>Business Administration</v>
      </c>
      <c r="I81" t="str">
        <f t="shared" si="9"/>
        <v>Good Standing</v>
      </c>
      <c r="J81" t="str">
        <f t="shared" si="6"/>
        <v>Good Standing</v>
      </c>
      <c r="K81" t="str">
        <f t="shared" si="7"/>
        <v>Good Standing</v>
      </c>
      <c r="L81" t="str">
        <f t="shared" si="8"/>
        <v>Business Administration</v>
      </c>
    </row>
    <row r="82" spans="1:12">
      <c r="A82" s="2" t="s">
        <v>84</v>
      </c>
      <c r="B82" s="2" t="s">
        <v>34</v>
      </c>
      <c r="C82" s="2">
        <v>83.3</v>
      </c>
      <c r="D82" s="2">
        <v>79.099999999999994</v>
      </c>
      <c r="E82" s="2">
        <v>78.400000000000006</v>
      </c>
      <c r="F82" s="2">
        <v>86.6</v>
      </c>
      <c r="G82" s="2" t="s">
        <v>26</v>
      </c>
      <c r="H82" t="str">
        <f t="shared" si="5"/>
        <v>Data Science</v>
      </c>
      <c r="I82" t="str">
        <f t="shared" si="9"/>
        <v>Good Standing</v>
      </c>
      <c r="J82" t="str">
        <f t="shared" si="6"/>
        <v>Good Standing</v>
      </c>
      <c r="K82" t="str">
        <f t="shared" si="7"/>
        <v>Good Standing</v>
      </c>
      <c r="L82" t="str">
        <f t="shared" si="8"/>
        <v>Data Science</v>
      </c>
    </row>
    <row r="83" spans="1:12">
      <c r="A83" s="2" t="s">
        <v>179</v>
      </c>
      <c r="B83" s="2" t="s">
        <v>34</v>
      </c>
      <c r="C83" s="2">
        <v>83.1</v>
      </c>
      <c r="D83" s="2">
        <v>77.3</v>
      </c>
      <c r="E83" s="2">
        <v>78.400000000000006</v>
      </c>
      <c r="F83" s="2">
        <v>57.1</v>
      </c>
      <c r="G83" s="2" t="s">
        <v>22</v>
      </c>
      <c r="H83" t="str">
        <f t="shared" si="5"/>
        <v>Data Science</v>
      </c>
      <c r="I83" t="str">
        <f t="shared" si="9"/>
        <v>At Risk</v>
      </c>
      <c r="J83" t="str">
        <f t="shared" si="6"/>
        <v>At Risk</v>
      </c>
      <c r="K83" t="str">
        <f t="shared" si="7"/>
        <v>At Risk</v>
      </c>
      <c r="L83" t="str">
        <f t="shared" si="8"/>
        <v>Data Science</v>
      </c>
    </row>
    <row r="84" spans="1:12">
      <c r="A84" s="2" t="s">
        <v>288</v>
      </c>
      <c r="B84" s="2" t="s">
        <v>21</v>
      </c>
      <c r="C84" s="2">
        <v>71.8</v>
      </c>
      <c r="D84" s="2">
        <v>78.2</v>
      </c>
      <c r="E84" s="2">
        <v>78.400000000000006</v>
      </c>
      <c r="F84" s="2">
        <v>58</v>
      </c>
      <c r="G84" s="2" t="s">
        <v>26</v>
      </c>
      <c r="H84" t="str">
        <f t="shared" si="5"/>
        <v>Public Health</v>
      </c>
      <c r="I84" t="str">
        <f t="shared" si="9"/>
        <v>Good Standing</v>
      </c>
      <c r="J84" t="str">
        <f t="shared" si="6"/>
        <v>Good Standing</v>
      </c>
      <c r="K84" t="str">
        <f t="shared" si="7"/>
        <v>Good Standing</v>
      </c>
      <c r="L84" t="str">
        <f t="shared" si="8"/>
        <v>Public Health</v>
      </c>
    </row>
    <row r="85" spans="1:12">
      <c r="A85" s="2" t="s">
        <v>77</v>
      </c>
      <c r="B85" s="2" t="s">
        <v>28</v>
      </c>
      <c r="C85" s="2">
        <v>98.1</v>
      </c>
      <c r="D85" s="2">
        <v>65</v>
      </c>
      <c r="E85" s="2">
        <v>78.3</v>
      </c>
      <c r="F85" s="2">
        <v>58.1</v>
      </c>
      <c r="G85" s="2" t="s">
        <v>91</v>
      </c>
      <c r="H85" t="str">
        <f t="shared" si="5"/>
        <v>Engineering</v>
      </c>
      <c r="I85" t="str">
        <f t="shared" si="9"/>
        <v>Unknown</v>
      </c>
      <c r="J85" t="str">
        <f t="shared" si="6"/>
        <v>Unknown</v>
      </c>
      <c r="K85" t="str">
        <f t="shared" si="7"/>
        <v>Unknown</v>
      </c>
      <c r="L85" t="str">
        <f t="shared" si="8"/>
        <v>Engineering</v>
      </c>
    </row>
    <row r="86" spans="1:12">
      <c r="A86" s="2" t="s">
        <v>130</v>
      </c>
      <c r="B86" s="2" t="s">
        <v>34</v>
      </c>
      <c r="C86" s="2">
        <v>81.900000000000006</v>
      </c>
      <c r="D86" s="2">
        <v>67.3</v>
      </c>
      <c r="E86" s="2">
        <v>78.3</v>
      </c>
      <c r="F86" s="2">
        <v>62</v>
      </c>
      <c r="G86" s="2" t="s">
        <v>26</v>
      </c>
      <c r="H86" t="str">
        <f t="shared" si="5"/>
        <v>Data Science</v>
      </c>
      <c r="I86" t="str">
        <f t="shared" si="9"/>
        <v>Good Standing</v>
      </c>
      <c r="J86" t="str">
        <f t="shared" si="6"/>
        <v>Good Standing</v>
      </c>
      <c r="K86" t="str">
        <f t="shared" si="7"/>
        <v>Good Standing</v>
      </c>
      <c r="L86" t="str">
        <f t="shared" si="8"/>
        <v>Data Science</v>
      </c>
    </row>
    <row r="87" spans="1:12">
      <c r="A87" s="2" t="s">
        <v>45</v>
      </c>
      <c r="B87" s="2" t="s">
        <v>46</v>
      </c>
      <c r="C87" s="2">
        <v>83.4</v>
      </c>
      <c r="D87" s="2">
        <v>52.8</v>
      </c>
      <c r="E87" s="2">
        <v>78.099999999999994</v>
      </c>
      <c r="F87" s="2">
        <v>72.5</v>
      </c>
      <c r="G87" s="2" t="s">
        <v>26</v>
      </c>
      <c r="H87" t="str">
        <f t="shared" si="5"/>
        <v>Economics</v>
      </c>
      <c r="I87" t="str">
        <f t="shared" si="9"/>
        <v>Good Standing</v>
      </c>
      <c r="J87" t="str">
        <f t="shared" si="6"/>
        <v>Good Standing</v>
      </c>
      <c r="K87" t="str">
        <f t="shared" si="7"/>
        <v>Good Standing</v>
      </c>
      <c r="L87" t="str">
        <f t="shared" si="8"/>
        <v>Economics</v>
      </c>
    </row>
    <row r="88" spans="1:12">
      <c r="A88" s="2" t="s">
        <v>146</v>
      </c>
      <c r="B88" s="2" t="s">
        <v>24</v>
      </c>
      <c r="C88" s="2">
        <v>60.5</v>
      </c>
      <c r="D88" s="2">
        <v>69.8</v>
      </c>
      <c r="E88" s="2">
        <v>78.099999999999994</v>
      </c>
      <c r="F88" s="2">
        <v>75.3</v>
      </c>
      <c r="G88" s="2" t="s">
        <v>26</v>
      </c>
      <c r="H88" t="str">
        <f t="shared" si="5"/>
        <v>Business Administration</v>
      </c>
      <c r="I88" t="str">
        <f t="shared" si="9"/>
        <v>Good Standing</v>
      </c>
      <c r="J88" t="str">
        <f t="shared" si="6"/>
        <v>Good Standing</v>
      </c>
      <c r="K88" t="str">
        <f t="shared" si="7"/>
        <v>Good Standing</v>
      </c>
      <c r="L88" t="str">
        <f t="shared" si="8"/>
        <v>Business Administration</v>
      </c>
    </row>
    <row r="89" spans="1:12">
      <c r="A89" s="2" t="s">
        <v>75</v>
      </c>
      <c r="B89" s="2" t="s">
        <v>28</v>
      </c>
      <c r="C89" s="2">
        <v>82.1</v>
      </c>
      <c r="D89" s="2">
        <v>62.9</v>
      </c>
      <c r="E89" s="2">
        <v>77.900000000000006</v>
      </c>
      <c r="F89" s="2">
        <v>68.2</v>
      </c>
      <c r="G89" s="2" t="s">
        <v>26</v>
      </c>
      <c r="H89" t="str">
        <f t="shared" si="5"/>
        <v>Engineering</v>
      </c>
      <c r="I89" t="str">
        <f t="shared" si="9"/>
        <v>Good Standing</v>
      </c>
      <c r="J89" t="str">
        <f t="shared" si="6"/>
        <v>Good Standing</v>
      </c>
      <c r="K89" t="str">
        <f t="shared" si="7"/>
        <v>Good Standing</v>
      </c>
      <c r="L89" t="str">
        <f t="shared" si="8"/>
        <v>Engineering</v>
      </c>
    </row>
    <row r="90" spans="1:12">
      <c r="A90" s="2" t="s">
        <v>160</v>
      </c>
      <c r="B90" s="2" t="s">
        <v>34</v>
      </c>
      <c r="C90" s="2">
        <v>85.4</v>
      </c>
      <c r="D90" s="2">
        <v>61.4</v>
      </c>
      <c r="E90" s="2">
        <v>77.900000000000006</v>
      </c>
      <c r="F90" s="2">
        <v>76</v>
      </c>
      <c r="G90" s="2" t="s">
        <v>22</v>
      </c>
      <c r="H90" t="str">
        <f t="shared" si="5"/>
        <v>Data Science</v>
      </c>
      <c r="I90" t="str">
        <f t="shared" si="9"/>
        <v>At Risk</v>
      </c>
      <c r="J90" t="str">
        <f t="shared" si="6"/>
        <v>At Risk</v>
      </c>
      <c r="K90" t="str">
        <f t="shared" si="7"/>
        <v>At Risk</v>
      </c>
      <c r="L90" t="str">
        <f t="shared" si="8"/>
        <v>Data Science</v>
      </c>
    </row>
    <row r="91" spans="1:12">
      <c r="A91" s="2" t="s">
        <v>197</v>
      </c>
      <c r="B91" s="2" t="s">
        <v>34</v>
      </c>
      <c r="C91" s="2">
        <v>70.7</v>
      </c>
      <c r="D91" s="2">
        <v>62</v>
      </c>
      <c r="E91" s="2">
        <v>77.8</v>
      </c>
      <c r="F91" s="2">
        <v>49</v>
      </c>
      <c r="G91" s="2" t="s">
        <v>26</v>
      </c>
      <c r="H91" t="str">
        <f t="shared" si="5"/>
        <v>Data Science</v>
      </c>
      <c r="I91" t="str">
        <f t="shared" si="9"/>
        <v>Good Standing</v>
      </c>
      <c r="J91" t="str">
        <f t="shared" si="6"/>
        <v>Good Standing</v>
      </c>
      <c r="K91" t="str">
        <f t="shared" si="7"/>
        <v>Good Standing</v>
      </c>
      <c r="L91" t="str">
        <f t="shared" si="8"/>
        <v>Data Science</v>
      </c>
    </row>
    <row r="92" spans="1:12">
      <c r="A92" s="2" t="s">
        <v>217</v>
      </c>
      <c r="B92" s="2" t="s">
        <v>28</v>
      </c>
      <c r="C92" s="2">
        <v>94.2</v>
      </c>
      <c r="D92" s="2">
        <v>67.599999999999994</v>
      </c>
      <c r="E92" s="2">
        <v>77.5</v>
      </c>
      <c r="F92" s="2">
        <v>93.3</v>
      </c>
      <c r="G92" s="2" t="s">
        <v>26</v>
      </c>
      <c r="H92" t="str">
        <f t="shared" si="5"/>
        <v>Engineering</v>
      </c>
      <c r="I92" t="str">
        <f t="shared" si="9"/>
        <v>Good Standing</v>
      </c>
      <c r="J92" t="str">
        <f t="shared" si="6"/>
        <v>Good Standing</v>
      </c>
      <c r="K92" t="str">
        <f t="shared" si="7"/>
        <v>Good Standing</v>
      </c>
      <c r="L92" t="str">
        <f t="shared" si="8"/>
        <v>Engineering</v>
      </c>
    </row>
    <row r="93" spans="1:12">
      <c r="A93" s="2" t="s">
        <v>121</v>
      </c>
      <c r="B93" s="2" t="s">
        <v>34</v>
      </c>
      <c r="C93" s="2">
        <v>59</v>
      </c>
      <c r="D93" s="2">
        <v>60.4</v>
      </c>
      <c r="E93" s="2">
        <v>77</v>
      </c>
      <c r="F93" s="2">
        <v>71.543880000000001</v>
      </c>
      <c r="G93" s="2" t="s">
        <v>26</v>
      </c>
      <c r="H93" t="str">
        <f t="shared" si="5"/>
        <v>Data Science</v>
      </c>
      <c r="I93" t="str">
        <f t="shared" si="9"/>
        <v>Good Standing</v>
      </c>
      <c r="J93" t="str">
        <f t="shared" si="6"/>
        <v>Good Standing</v>
      </c>
      <c r="K93" t="str">
        <f t="shared" si="7"/>
        <v>Good Standing</v>
      </c>
      <c r="L93" t="str">
        <f t="shared" si="8"/>
        <v>Data Science</v>
      </c>
    </row>
    <row r="94" spans="1:12">
      <c r="A94" s="2" t="s">
        <v>241</v>
      </c>
      <c r="B94" s="2" t="s">
        <v>24</v>
      </c>
      <c r="C94" s="2">
        <v>83.5</v>
      </c>
      <c r="D94" s="2">
        <v>44.3</v>
      </c>
      <c r="E94" s="2">
        <v>77</v>
      </c>
      <c r="F94" s="2">
        <v>75.7</v>
      </c>
      <c r="G94" s="2" t="s">
        <v>26</v>
      </c>
      <c r="H94" t="str">
        <f t="shared" si="5"/>
        <v>Business Administration</v>
      </c>
      <c r="I94" t="str">
        <f t="shared" si="9"/>
        <v>Good Standing</v>
      </c>
      <c r="J94" t="str">
        <f t="shared" si="6"/>
        <v>Good Standing</v>
      </c>
      <c r="K94" t="str">
        <f t="shared" si="7"/>
        <v>Good Standing</v>
      </c>
      <c r="L94" t="str">
        <f t="shared" si="8"/>
        <v>Business Administration</v>
      </c>
    </row>
    <row r="95" spans="1:12">
      <c r="A95" s="2" t="s">
        <v>115</v>
      </c>
      <c r="B95" s="2" t="s">
        <v>24</v>
      </c>
      <c r="C95" s="2">
        <v>67</v>
      </c>
      <c r="D95" s="2">
        <v>87.7</v>
      </c>
      <c r="E95" s="2">
        <v>76.900000000000006</v>
      </c>
      <c r="F95" s="2">
        <v>74.599999999999994</v>
      </c>
      <c r="G95" s="2" t="s">
        <v>22</v>
      </c>
      <c r="H95" t="str">
        <f t="shared" si="5"/>
        <v>Business Administration</v>
      </c>
      <c r="I95" t="str">
        <f t="shared" si="9"/>
        <v>At Risk</v>
      </c>
      <c r="J95" t="str">
        <f t="shared" si="6"/>
        <v>At Risk</v>
      </c>
      <c r="K95" t="str">
        <f t="shared" si="7"/>
        <v>At Risk</v>
      </c>
      <c r="L95" t="str">
        <f t="shared" si="8"/>
        <v>Business Administration</v>
      </c>
    </row>
    <row r="96" spans="1:12">
      <c r="A96" s="2" t="s">
        <v>108</v>
      </c>
      <c r="B96" s="2" t="s">
        <v>24</v>
      </c>
      <c r="C96" s="2">
        <v>78.8</v>
      </c>
      <c r="D96" s="2">
        <v>69.8</v>
      </c>
      <c r="E96" s="2">
        <v>76.8</v>
      </c>
      <c r="F96" s="2">
        <v>48.2</v>
      </c>
      <c r="G96" s="2" t="s">
        <v>26</v>
      </c>
      <c r="H96" t="str">
        <f t="shared" si="5"/>
        <v>Business Administration</v>
      </c>
      <c r="I96" t="str">
        <f t="shared" si="9"/>
        <v>Good Standing</v>
      </c>
      <c r="J96" t="str">
        <f t="shared" si="6"/>
        <v>Good Standing</v>
      </c>
      <c r="K96" t="str">
        <f t="shared" si="7"/>
        <v>Good Standing</v>
      </c>
      <c r="L96" t="str">
        <f t="shared" si="8"/>
        <v>Business Administration</v>
      </c>
    </row>
    <row r="97" spans="1:12">
      <c r="A97" s="2" t="s">
        <v>155</v>
      </c>
      <c r="B97" s="2" t="s">
        <v>34</v>
      </c>
      <c r="C97" s="2">
        <v>82.7</v>
      </c>
      <c r="D97" s="2">
        <v>69.8</v>
      </c>
      <c r="E97" s="2">
        <v>76.8</v>
      </c>
      <c r="F97" s="2">
        <v>74.5</v>
      </c>
      <c r="G97" s="2" t="s">
        <v>22</v>
      </c>
      <c r="H97" t="str">
        <f t="shared" si="5"/>
        <v>Data Science</v>
      </c>
      <c r="I97" t="str">
        <f t="shared" si="9"/>
        <v>At Risk</v>
      </c>
      <c r="J97" t="str">
        <f t="shared" si="6"/>
        <v>At Risk</v>
      </c>
      <c r="K97" t="str">
        <f t="shared" si="7"/>
        <v>At Risk</v>
      </c>
      <c r="L97" t="str">
        <f t="shared" si="8"/>
        <v>Data Science</v>
      </c>
    </row>
    <row r="98" spans="1:12">
      <c r="A98" s="2" t="s">
        <v>203</v>
      </c>
      <c r="B98" s="2" t="s">
        <v>24</v>
      </c>
      <c r="C98" s="2">
        <v>65</v>
      </c>
      <c r="D98" s="2">
        <v>89.3</v>
      </c>
      <c r="E98" s="2">
        <v>76.8</v>
      </c>
      <c r="F98" s="2">
        <v>53</v>
      </c>
      <c r="G98" s="2" t="s">
        <v>26</v>
      </c>
      <c r="H98" t="str">
        <f t="shared" si="5"/>
        <v>Business Administration</v>
      </c>
      <c r="I98" t="str">
        <f t="shared" si="9"/>
        <v>Good Standing</v>
      </c>
      <c r="J98" t="str">
        <f t="shared" si="6"/>
        <v>Good Standing</v>
      </c>
      <c r="K98" t="str">
        <f t="shared" si="7"/>
        <v>Good Standing</v>
      </c>
      <c r="L98" t="str">
        <f t="shared" si="8"/>
        <v>Business Administration</v>
      </c>
    </row>
    <row r="99" spans="1:12">
      <c r="A99" s="2" t="s">
        <v>299</v>
      </c>
      <c r="B99" s="2" t="s">
        <v>21</v>
      </c>
      <c r="C99" s="2">
        <v>60.8</v>
      </c>
      <c r="D99" s="2">
        <v>77.400000000000006</v>
      </c>
      <c r="E99" s="2">
        <v>76.8</v>
      </c>
      <c r="F99" s="2">
        <v>41.7</v>
      </c>
      <c r="G99" s="2" t="s">
        <v>26</v>
      </c>
      <c r="H99" t="str">
        <f t="shared" si="5"/>
        <v>Public Health</v>
      </c>
      <c r="I99" t="str">
        <f t="shared" si="9"/>
        <v>Good Standing</v>
      </c>
      <c r="J99" t="str">
        <f t="shared" si="6"/>
        <v>Good Standing</v>
      </c>
      <c r="K99" t="str">
        <f t="shared" si="7"/>
        <v>Good Standing</v>
      </c>
      <c r="L99" t="str">
        <f t="shared" si="8"/>
        <v>Public Health</v>
      </c>
    </row>
    <row r="100" spans="1:12">
      <c r="A100" s="2" t="s">
        <v>172</v>
      </c>
      <c r="B100" s="2" t="s">
        <v>28</v>
      </c>
      <c r="C100" s="2">
        <v>100</v>
      </c>
      <c r="D100" s="2">
        <v>64.099999999999994</v>
      </c>
      <c r="E100" s="2">
        <v>76.599999999999994</v>
      </c>
      <c r="F100" s="2">
        <v>68.599999999999994</v>
      </c>
      <c r="G100" s="2" t="s">
        <v>26</v>
      </c>
      <c r="H100" t="str">
        <f t="shared" si="5"/>
        <v>Engineering</v>
      </c>
      <c r="I100" t="str">
        <f t="shared" si="9"/>
        <v>Good Standing</v>
      </c>
      <c r="J100" t="str">
        <f t="shared" si="6"/>
        <v>Good Standing</v>
      </c>
      <c r="K100" t="str">
        <f t="shared" si="7"/>
        <v>Good Standing</v>
      </c>
      <c r="L100" t="str">
        <f t="shared" si="8"/>
        <v>Engineering</v>
      </c>
    </row>
    <row r="101" spans="1:12">
      <c r="A101" s="2" t="s">
        <v>317</v>
      </c>
      <c r="B101" s="2" t="s">
        <v>30</v>
      </c>
      <c r="C101" s="2">
        <v>70.099999999999994</v>
      </c>
      <c r="D101" s="2">
        <v>75.900000000000006</v>
      </c>
      <c r="E101" s="2">
        <v>76.2</v>
      </c>
      <c r="F101" s="2">
        <v>55.4</v>
      </c>
      <c r="G101" s="2" t="s">
        <v>22</v>
      </c>
      <c r="H101" t="str">
        <f t="shared" si="5"/>
        <v>Computer Science</v>
      </c>
      <c r="I101" t="str">
        <f t="shared" si="9"/>
        <v>At Risk</v>
      </c>
      <c r="J101" t="str">
        <f t="shared" si="6"/>
        <v>At Risk</v>
      </c>
      <c r="K101" t="str">
        <f t="shared" si="7"/>
        <v>At Risk</v>
      </c>
      <c r="L101" t="str">
        <f t="shared" si="8"/>
        <v>Computer Science</v>
      </c>
    </row>
    <row r="102" spans="1:12">
      <c r="A102" s="2" t="s">
        <v>63</v>
      </c>
      <c r="B102" s="2" t="s">
        <v>28</v>
      </c>
      <c r="C102" s="2">
        <v>58.7</v>
      </c>
      <c r="D102" s="2">
        <v>72.2</v>
      </c>
      <c r="E102" s="2">
        <v>75.7</v>
      </c>
      <c r="F102" s="2">
        <v>67.7</v>
      </c>
      <c r="G102" s="2" t="s">
        <v>22</v>
      </c>
      <c r="H102" t="str">
        <f t="shared" si="5"/>
        <v>Engineering</v>
      </c>
      <c r="I102" t="str">
        <f t="shared" si="9"/>
        <v>At Risk</v>
      </c>
      <c r="J102" t="str">
        <f t="shared" si="6"/>
        <v>At Risk</v>
      </c>
      <c r="K102" t="str">
        <f t="shared" si="7"/>
        <v>At Risk</v>
      </c>
      <c r="L102" t="str">
        <f t="shared" si="8"/>
        <v>Engineering</v>
      </c>
    </row>
    <row r="103" spans="1:12">
      <c r="A103" s="2" t="s">
        <v>107</v>
      </c>
      <c r="B103" s="2" t="s">
        <v>24</v>
      </c>
      <c r="C103" s="2">
        <v>92.4</v>
      </c>
      <c r="D103" s="2">
        <v>69.099999999999994</v>
      </c>
      <c r="E103" s="2">
        <v>75.7</v>
      </c>
      <c r="F103" s="2">
        <v>36.700000000000003</v>
      </c>
      <c r="G103" s="2" t="s">
        <v>91</v>
      </c>
      <c r="H103" t="str">
        <f t="shared" si="5"/>
        <v>Business Administration</v>
      </c>
      <c r="I103" t="str">
        <f t="shared" si="9"/>
        <v>Unknown</v>
      </c>
      <c r="J103" t="str">
        <f t="shared" si="6"/>
        <v>Unknown</v>
      </c>
      <c r="K103" t="str">
        <f t="shared" si="7"/>
        <v>Unknown</v>
      </c>
      <c r="L103" t="str">
        <f t="shared" si="8"/>
        <v>Business Administration</v>
      </c>
    </row>
    <row r="104" spans="1:12">
      <c r="A104" s="2" t="s">
        <v>35</v>
      </c>
      <c r="B104" s="2" t="s">
        <v>21</v>
      </c>
      <c r="C104" s="2">
        <v>58.7</v>
      </c>
      <c r="D104" s="2">
        <v>51.3</v>
      </c>
      <c r="E104" s="2">
        <v>75.599999999999994</v>
      </c>
      <c r="F104" s="2">
        <v>35.799999999999997</v>
      </c>
      <c r="G104" s="2" t="s">
        <v>26</v>
      </c>
      <c r="H104" t="str">
        <f t="shared" si="5"/>
        <v>Public Health</v>
      </c>
      <c r="I104" t="str">
        <f t="shared" si="9"/>
        <v>Good Standing</v>
      </c>
      <c r="J104" t="str">
        <f t="shared" si="6"/>
        <v>Good Standing</v>
      </c>
      <c r="K104" t="str">
        <f t="shared" si="7"/>
        <v>Good Standing</v>
      </c>
      <c r="L104" t="str">
        <f t="shared" si="8"/>
        <v>Public Health</v>
      </c>
    </row>
    <row r="105" spans="1:12">
      <c r="A105" s="2" t="s">
        <v>132</v>
      </c>
      <c r="B105" s="2" t="s">
        <v>24</v>
      </c>
      <c r="C105" s="2">
        <v>100</v>
      </c>
      <c r="D105" s="2">
        <v>79.7</v>
      </c>
      <c r="E105" s="2">
        <v>75.400000000000006</v>
      </c>
      <c r="F105" s="2">
        <v>95.3</v>
      </c>
      <c r="G105" s="2" t="s">
        <v>91</v>
      </c>
      <c r="H105" t="str">
        <f t="shared" si="5"/>
        <v>Business Administration</v>
      </c>
      <c r="I105" t="str">
        <f t="shared" si="9"/>
        <v>Unknown</v>
      </c>
      <c r="J105" t="str">
        <f t="shared" si="6"/>
        <v>Unknown</v>
      </c>
      <c r="K105" t="str">
        <f t="shared" si="7"/>
        <v>Unknown</v>
      </c>
      <c r="L105" t="str">
        <f t="shared" si="8"/>
        <v>Business Administration</v>
      </c>
    </row>
    <row r="106" spans="1:12">
      <c r="A106" s="2" t="s">
        <v>289</v>
      </c>
      <c r="B106" s="2" t="s">
        <v>30</v>
      </c>
      <c r="C106" s="2">
        <v>69.900000000000006</v>
      </c>
      <c r="D106" s="2">
        <v>79.7</v>
      </c>
      <c r="E106" s="2">
        <v>75.400000000000006</v>
      </c>
      <c r="F106" s="2">
        <v>59.3</v>
      </c>
      <c r="G106" s="2" t="s">
        <v>26</v>
      </c>
      <c r="H106" t="str">
        <f t="shared" si="5"/>
        <v>Computer Science</v>
      </c>
      <c r="I106" t="str">
        <f t="shared" si="9"/>
        <v>Good Standing</v>
      </c>
      <c r="J106" t="str">
        <f t="shared" si="6"/>
        <v>Good Standing</v>
      </c>
      <c r="K106" t="str">
        <f t="shared" si="7"/>
        <v>Good Standing</v>
      </c>
      <c r="L106" t="str">
        <f t="shared" si="8"/>
        <v>Computer Science</v>
      </c>
    </row>
    <row r="107" spans="1:12">
      <c r="A107" s="2" t="s">
        <v>257</v>
      </c>
      <c r="B107" s="2" t="s">
        <v>28</v>
      </c>
      <c r="C107" s="2">
        <v>95</v>
      </c>
      <c r="D107" s="2">
        <v>99.5</v>
      </c>
      <c r="E107" s="2">
        <v>74.8</v>
      </c>
      <c r="F107" s="2">
        <v>82.7</v>
      </c>
      <c r="G107" s="2" t="s">
        <v>26</v>
      </c>
      <c r="H107" t="str">
        <f t="shared" si="5"/>
        <v>Engineering</v>
      </c>
      <c r="I107" t="str">
        <f t="shared" si="9"/>
        <v>Good Standing</v>
      </c>
      <c r="J107" t="str">
        <f t="shared" si="6"/>
        <v>Good Standing</v>
      </c>
      <c r="K107" t="str">
        <f t="shared" si="7"/>
        <v>Good Standing</v>
      </c>
      <c r="L107" t="str">
        <f t="shared" si="8"/>
        <v>Engineering</v>
      </c>
    </row>
    <row r="108" spans="1:12">
      <c r="A108" s="2" t="s">
        <v>313</v>
      </c>
      <c r="B108" s="2" t="s">
        <v>34</v>
      </c>
      <c r="C108" s="2">
        <v>89.2</v>
      </c>
      <c r="D108" s="2">
        <v>100</v>
      </c>
      <c r="E108" s="2">
        <v>74.8</v>
      </c>
      <c r="F108" s="2">
        <v>73.599999999999994</v>
      </c>
      <c r="G108" s="2" t="s">
        <v>26</v>
      </c>
      <c r="H108" t="str">
        <f t="shared" si="5"/>
        <v>Data Science</v>
      </c>
      <c r="I108" t="str">
        <f t="shared" si="9"/>
        <v>Good Standing</v>
      </c>
      <c r="J108" t="str">
        <f t="shared" si="6"/>
        <v>Good Standing</v>
      </c>
      <c r="K108" t="str">
        <f t="shared" si="7"/>
        <v>Good Standing</v>
      </c>
      <c r="L108" t="str">
        <f t="shared" si="8"/>
        <v>Data Science</v>
      </c>
    </row>
    <row r="109" spans="1:12">
      <c r="A109" s="2" t="s">
        <v>268</v>
      </c>
      <c r="B109" s="2" t="s">
        <v>34</v>
      </c>
      <c r="C109" s="2">
        <v>70.400000000000006</v>
      </c>
      <c r="D109" s="2">
        <v>69.099999999999994</v>
      </c>
      <c r="E109" s="2">
        <v>74.7</v>
      </c>
      <c r="F109" s="2">
        <v>77.400000000000006</v>
      </c>
      <c r="G109" s="2" t="s">
        <v>26</v>
      </c>
      <c r="H109" t="str">
        <f t="shared" si="5"/>
        <v>Data Science</v>
      </c>
      <c r="I109" t="str">
        <f t="shared" si="9"/>
        <v>Good Standing</v>
      </c>
      <c r="J109" t="str">
        <f t="shared" si="6"/>
        <v>Good Standing</v>
      </c>
      <c r="K109" t="str">
        <f t="shared" si="7"/>
        <v>Good Standing</v>
      </c>
      <c r="L109" t="str">
        <f t="shared" si="8"/>
        <v>Data Science</v>
      </c>
    </row>
    <row r="110" spans="1:12">
      <c r="A110" s="2" t="s">
        <v>193</v>
      </c>
      <c r="B110" s="2" t="s">
        <v>28</v>
      </c>
      <c r="C110" s="2">
        <v>93.3</v>
      </c>
      <c r="D110" s="2">
        <v>79</v>
      </c>
      <c r="E110" s="2">
        <v>74.2</v>
      </c>
      <c r="F110" s="2">
        <v>27.5</v>
      </c>
      <c r="G110" s="2" t="s">
        <v>26</v>
      </c>
      <c r="H110" t="str">
        <f t="shared" si="5"/>
        <v>Engineering</v>
      </c>
      <c r="I110" t="str">
        <f t="shared" si="9"/>
        <v>Good Standing</v>
      </c>
      <c r="J110" t="str">
        <f t="shared" si="6"/>
        <v>Good Standing</v>
      </c>
      <c r="K110" t="str">
        <f t="shared" si="7"/>
        <v>Good Standing</v>
      </c>
      <c r="L110" t="str">
        <f t="shared" si="8"/>
        <v>Engineering</v>
      </c>
    </row>
    <row r="111" spans="1:12">
      <c r="A111" s="2" t="s">
        <v>202</v>
      </c>
      <c r="B111" s="2" t="s">
        <v>34</v>
      </c>
      <c r="C111" s="2">
        <v>83.3</v>
      </c>
      <c r="D111" s="2">
        <v>41.4</v>
      </c>
      <c r="E111" s="2">
        <v>74.099999999999994</v>
      </c>
      <c r="F111" s="2">
        <v>51.5</v>
      </c>
      <c r="G111" s="2" t="s">
        <v>26</v>
      </c>
      <c r="H111" t="str">
        <f t="shared" si="5"/>
        <v>Data Science</v>
      </c>
      <c r="I111" t="str">
        <f t="shared" si="9"/>
        <v>Good Standing</v>
      </c>
      <c r="J111" t="str">
        <f t="shared" si="6"/>
        <v>Good Standing</v>
      </c>
      <c r="K111" t="str">
        <f t="shared" si="7"/>
        <v>Good Standing</v>
      </c>
      <c r="L111" t="str">
        <f t="shared" si="8"/>
        <v>Data Science</v>
      </c>
    </row>
    <row r="112" spans="1:12">
      <c r="A112" s="2" t="s">
        <v>252</v>
      </c>
      <c r="B112" s="2" t="s">
        <v>30</v>
      </c>
      <c r="C112" s="2">
        <v>88.3</v>
      </c>
      <c r="D112" s="2">
        <v>72.400000000000006</v>
      </c>
      <c r="E112" s="2">
        <v>73.599999999999994</v>
      </c>
      <c r="F112" s="2">
        <v>71.543880000000001</v>
      </c>
      <c r="G112" s="2" t="s">
        <v>26</v>
      </c>
      <c r="H112" t="str">
        <f t="shared" si="5"/>
        <v>Computer Science</v>
      </c>
      <c r="I112" t="str">
        <f t="shared" si="9"/>
        <v>Good Standing</v>
      </c>
      <c r="J112" t="str">
        <f t="shared" si="6"/>
        <v>Good Standing</v>
      </c>
      <c r="K112" t="str">
        <f t="shared" si="7"/>
        <v>Good Standing</v>
      </c>
      <c r="L112" t="str">
        <f t="shared" si="8"/>
        <v>Computer Science</v>
      </c>
    </row>
    <row r="113" spans="1:12">
      <c r="A113" s="2" t="s">
        <v>277</v>
      </c>
      <c r="B113" s="2" t="s">
        <v>28</v>
      </c>
      <c r="C113" s="2">
        <v>77.2</v>
      </c>
      <c r="D113" s="2">
        <v>91.8</v>
      </c>
      <c r="E113" s="2">
        <v>73.099999999999994</v>
      </c>
      <c r="F113" s="2">
        <v>98.2</v>
      </c>
      <c r="G113" s="2" t="s">
        <v>26</v>
      </c>
      <c r="H113" t="str">
        <f t="shared" si="5"/>
        <v>Engineering</v>
      </c>
      <c r="I113" t="str">
        <f t="shared" si="9"/>
        <v>Good Standing</v>
      </c>
      <c r="J113" t="str">
        <f t="shared" si="6"/>
        <v>Good Standing</v>
      </c>
      <c r="K113" t="str">
        <f t="shared" si="7"/>
        <v>Good Standing</v>
      </c>
      <c r="L113" t="str">
        <f t="shared" si="8"/>
        <v>Engineering</v>
      </c>
    </row>
    <row r="114" spans="1:12">
      <c r="A114" s="2" t="s">
        <v>305</v>
      </c>
      <c r="B114" s="2" t="s">
        <v>30</v>
      </c>
      <c r="C114" s="2">
        <v>70.900000000000006</v>
      </c>
      <c r="D114" s="2">
        <v>87.1</v>
      </c>
      <c r="E114" s="2">
        <v>73.099999999999994</v>
      </c>
      <c r="F114" s="2">
        <v>100</v>
      </c>
      <c r="G114" s="2" t="s">
        <v>26</v>
      </c>
      <c r="H114" t="str">
        <f t="shared" si="5"/>
        <v>Computer Science</v>
      </c>
      <c r="I114" t="str">
        <f t="shared" si="9"/>
        <v>Good Standing</v>
      </c>
      <c r="J114" t="str">
        <f t="shared" si="6"/>
        <v>Good Standing</v>
      </c>
      <c r="K114" t="str">
        <f t="shared" si="7"/>
        <v>Good Standing</v>
      </c>
      <c r="L114" t="str">
        <f t="shared" si="8"/>
        <v>Computer Science</v>
      </c>
    </row>
    <row r="115" spans="1:12">
      <c r="A115" s="2" t="s">
        <v>173</v>
      </c>
      <c r="B115" s="2" t="s">
        <v>21</v>
      </c>
      <c r="C115" s="2">
        <v>94</v>
      </c>
      <c r="D115" s="2">
        <v>85.7</v>
      </c>
      <c r="E115" s="2">
        <v>73</v>
      </c>
      <c r="F115" s="2">
        <v>83.7</v>
      </c>
      <c r="G115" s="2" t="s">
        <v>26</v>
      </c>
      <c r="H115" t="str">
        <f t="shared" si="5"/>
        <v>Public Health</v>
      </c>
      <c r="I115" t="str">
        <f t="shared" si="9"/>
        <v>Good Standing</v>
      </c>
      <c r="J115" t="str">
        <f t="shared" si="6"/>
        <v>Good Standing</v>
      </c>
      <c r="K115" t="str">
        <f t="shared" si="7"/>
        <v>Good Standing</v>
      </c>
      <c r="L115" t="str">
        <f t="shared" si="8"/>
        <v>Public Health</v>
      </c>
    </row>
    <row r="116" spans="1:12">
      <c r="A116" s="2" t="s">
        <v>225</v>
      </c>
      <c r="B116" s="2" t="s">
        <v>30</v>
      </c>
      <c r="C116" s="2">
        <v>89.8</v>
      </c>
      <c r="D116" s="2">
        <v>62.5</v>
      </c>
      <c r="E116" s="2">
        <v>73</v>
      </c>
      <c r="F116" s="2">
        <v>37.4</v>
      </c>
      <c r="G116" s="2" t="s">
        <v>26</v>
      </c>
      <c r="H116" t="str">
        <f t="shared" si="5"/>
        <v>Computer Science</v>
      </c>
      <c r="I116" t="str">
        <f t="shared" si="9"/>
        <v>Good Standing</v>
      </c>
      <c r="J116" t="str">
        <f t="shared" si="6"/>
        <v>Good Standing</v>
      </c>
      <c r="K116" t="str">
        <f t="shared" si="7"/>
        <v>Good Standing</v>
      </c>
      <c r="L116" t="str">
        <f t="shared" si="8"/>
        <v>Computer Science</v>
      </c>
    </row>
    <row r="117" spans="1:12">
      <c r="A117" s="2" t="s">
        <v>60</v>
      </c>
      <c r="B117" s="2" t="s">
        <v>24</v>
      </c>
      <c r="C117" s="2">
        <v>76.2</v>
      </c>
      <c r="D117" s="2">
        <v>66.900000000000006</v>
      </c>
      <c r="E117" s="2">
        <v>72.900000000000006</v>
      </c>
      <c r="F117" s="2">
        <v>71.543880000000001</v>
      </c>
      <c r="G117" s="2" t="s">
        <v>26</v>
      </c>
      <c r="H117" t="str">
        <f t="shared" si="5"/>
        <v>Business Administration</v>
      </c>
      <c r="I117" t="str">
        <f t="shared" si="9"/>
        <v>Good Standing</v>
      </c>
      <c r="J117" t="str">
        <f t="shared" si="6"/>
        <v>Good Standing</v>
      </c>
      <c r="K117" t="str">
        <f t="shared" si="7"/>
        <v>Good Standing</v>
      </c>
      <c r="L117" t="str">
        <f t="shared" si="8"/>
        <v>Business Administration</v>
      </c>
    </row>
    <row r="118" spans="1:12">
      <c r="A118" s="2" t="s">
        <v>156</v>
      </c>
      <c r="B118" s="2" t="s">
        <v>34</v>
      </c>
      <c r="C118" s="2">
        <v>66.3</v>
      </c>
      <c r="D118" s="2">
        <v>80.099999999999994</v>
      </c>
      <c r="E118" s="2">
        <v>72.8</v>
      </c>
      <c r="F118" s="2">
        <v>71.543880000000001</v>
      </c>
      <c r="G118" s="2" t="s">
        <v>26</v>
      </c>
      <c r="H118" t="str">
        <f t="shared" si="5"/>
        <v>Data Science</v>
      </c>
      <c r="I118" t="str">
        <f t="shared" si="9"/>
        <v>Good Standing</v>
      </c>
      <c r="J118" t="str">
        <f t="shared" si="6"/>
        <v>Good Standing</v>
      </c>
      <c r="K118" t="str">
        <f t="shared" si="7"/>
        <v>Good Standing</v>
      </c>
      <c r="L118" t="str">
        <f t="shared" si="8"/>
        <v>Data Science</v>
      </c>
    </row>
    <row r="119" spans="1:12">
      <c r="A119" s="2" t="s">
        <v>82</v>
      </c>
      <c r="B119" s="2" t="s">
        <v>34</v>
      </c>
      <c r="C119" s="2">
        <v>58.7</v>
      </c>
      <c r="D119" s="2">
        <v>72.5</v>
      </c>
      <c r="E119" s="2">
        <v>72.7</v>
      </c>
      <c r="F119" s="2">
        <v>47.5</v>
      </c>
      <c r="G119" s="2" t="s">
        <v>26</v>
      </c>
      <c r="H119" t="str">
        <f t="shared" si="5"/>
        <v>Data Science</v>
      </c>
      <c r="I119" t="str">
        <f t="shared" si="9"/>
        <v>Good Standing</v>
      </c>
      <c r="J119" t="str">
        <f t="shared" si="6"/>
        <v>Good Standing</v>
      </c>
      <c r="K119" t="str">
        <f t="shared" si="7"/>
        <v>Good Standing</v>
      </c>
      <c r="L119" t="str">
        <f t="shared" si="8"/>
        <v>Data Science</v>
      </c>
    </row>
    <row r="120" spans="1:12">
      <c r="A120" s="2" t="s">
        <v>208</v>
      </c>
      <c r="B120" s="2" t="s">
        <v>24</v>
      </c>
      <c r="C120" s="2">
        <v>88.8</v>
      </c>
      <c r="D120" s="2">
        <v>83.4</v>
      </c>
      <c r="E120" s="2">
        <v>72.5</v>
      </c>
      <c r="F120" s="2">
        <v>73.2</v>
      </c>
      <c r="G120" s="2" t="s">
        <v>26</v>
      </c>
      <c r="H120" t="str">
        <f t="shared" si="5"/>
        <v>Business Administration</v>
      </c>
      <c r="I120" t="str">
        <f t="shared" si="9"/>
        <v>Good Standing</v>
      </c>
      <c r="J120" t="str">
        <f t="shared" si="6"/>
        <v>Good Standing</v>
      </c>
      <c r="K120" t="str">
        <f t="shared" si="7"/>
        <v>Good Standing</v>
      </c>
      <c r="L120" t="str">
        <f t="shared" si="8"/>
        <v>Business Administration</v>
      </c>
    </row>
    <row r="121" spans="1:12">
      <c r="A121" s="2" t="s">
        <v>310</v>
      </c>
      <c r="B121" s="2" t="s">
        <v>21</v>
      </c>
      <c r="C121" s="2">
        <v>100</v>
      </c>
      <c r="D121" s="2">
        <v>69.8</v>
      </c>
      <c r="E121" s="2">
        <v>72.400000000000006</v>
      </c>
      <c r="F121" s="2">
        <v>67.8</v>
      </c>
      <c r="G121" s="2" t="s">
        <v>22</v>
      </c>
      <c r="H121" t="str">
        <f t="shared" si="5"/>
        <v>Public Health</v>
      </c>
      <c r="I121" t="str">
        <f t="shared" si="9"/>
        <v>At Risk</v>
      </c>
      <c r="J121" t="str">
        <f t="shared" si="6"/>
        <v>At Risk</v>
      </c>
      <c r="K121" t="str">
        <f t="shared" si="7"/>
        <v>At Risk</v>
      </c>
      <c r="L121" t="str">
        <f t="shared" si="8"/>
        <v>Public Health</v>
      </c>
    </row>
    <row r="122" spans="1:12">
      <c r="A122" s="2" t="s">
        <v>61</v>
      </c>
      <c r="B122" s="2" t="s">
        <v>21</v>
      </c>
      <c r="C122" s="2">
        <v>65.7</v>
      </c>
      <c r="D122" s="2">
        <v>100</v>
      </c>
      <c r="E122" s="2">
        <v>72.2</v>
      </c>
      <c r="F122" s="2">
        <v>84.7</v>
      </c>
      <c r="G122" s="2" t="s">
        <v>26</v>
      </c>
      <c r="H122" t="str">
        <f t="shared" si="5"/>
        <v>Public Health</v>
      </c>
      <c r="I122" t="str">
        <f t="shared" si="9"/>
        <v>Good Standing</v>
      </c>
      <c r="J122" t="str">
        <f t="shared" si="6"/>
        <v>Good Standing</v>
      </c>
      <c r="K122" t="str">
        <f t="shared" si="7"/>
        <v>Good Standing</v>
      </c>
      <c r="L122" t="str">
        <f t="shared" si="8"/>
        <v>Public Health</v>
      </c>
    </row>
    <row r="123" spans="1:12">
      <c r="A123" s="2" t="s">
        <v>265</v>
      </c>
      <c r="B123" s="2" t="s">
        <v>34</v>
      </c>
      <c r="C123" s="2">
        <v>93.2</v>
      </c>
      <c r="D123" s="2">
        <v>53.5</v>
      </c>
      <c r="E123" s="2">
        <v>72.2</v>
      </c>
      <c r="F123" s="2">
        <v>49.9</v>
      </c>
      <c r="G123" s="2" t="s">
        <v>22</v>
      </c>
      <c r="H123" t="str">
        <f t="shared" si="5"/>
        <v>Data Science</v>
      </c>
      <c r="I123" t="str">
        <f t="shared" si="9"/>
        <v>At Risk</v>
      </c>
      <c r="J123" t="str">
        <f t="shared" si="6"/>
        <v>At Risk</v>
      </c>
      <c r="K123" t="str">
        <f t="shared" si="7"/>
        <v>At Risk</v>
      </c>
      <c r="L123" t="str">
        <f t="shared" si="8"/>
        <v>Data Science</v>
      </c>
    </row>
    <row r="124" spans="1:12">
      <c r="A124" s="2" t="s">
        <v>126</v>
      </c>
      <c r="B124" s="2" t="s">
        <v>30</v>
      </c>
      <c r="C124" s="2">
        <v>84.1</v>
      </c>
      <c r="D124" s="2">
        <v>79.599999999999994</v>
      </c>
      <c r="E124" s="2">
        <v>71.900000000000006</v>
      </c>
      <c r="F124" s="2">
        <v>83.4</v>
      </c>
      <c r="G124" s="2" t="s">
        <v>26</v>
      </c>
      <c r="H124" t="str">
        <f t="shared" si="5"/>
        <v>Computer Science</v>
      </c>
      <c r="I124" t="str">
        <f t="shared" si="9"/>
        <v>Good Standing</v>
      </c>
      <c r="J124" t="str">
        <f t="shared" si="6"/>
        <v>Good Standing</v>
      </c>
      <c r="K124" t="str">
        <f t="shared" si="7"/>
        <v>Good Standing</v>
      </c>
      <c r="L124" t="str">
        <f t="shared" si="8"/>
        <v>Computer Science</v>
      </c>
    </row>
    <row r="125" spans="1:12">
      <c r="A125" s="2" t="s">
        <v>258</v>
      </c>
      <c r="B125" s="2" t="s">
        <v>24</v>
      </c>
      <c r="C125" s="2">
        <v>80.400000000000006</v>
      </c>
      <c r="D125" s="2">
        <v>89.3</v>
      </c>
      <c r="E125" s="2">
        <v>71.7</v>
      </c>
      <c r="F125" s="2">
        <v>61.4</v>
      </c>
      <c r="G125" s="2" t="s">
        <v>26</v>
      </c>
      <c r="H125" t="str">
        <f t="shared" si="5"/>
        <v>Business Administration</v>
      </c>
      <c r="I125" t="str">
        <f t="shared" si="9"/>
        <v>Good Standing</v>
      </c>
      <c r="J125" t="str">
        <f t="shared" si="6"/>
        <v>Good Standing</v>
      </c>
      <c r="K125" t="str">
        <f t="shared" si="7"/>
        <v>Good Standing</v>
      </c>
      <c r="L125" t="str">
        <f t="shared" si="8"/>
        <v>Business Administration</v>
      </c>
    </row>
    <row r="126" spans="1:12">
      <c r="A126" s="2" t="s">
        <v>169</v>
      </c>
      <c r="B126" s="2" t="s">
        <v>30</v>
      </c>
      <c r="C126" s="2">
        <v>83.4</v>
      </c>
      <c r="D126" s="2">
        <v>81.400000000000006</v>
      </c>
      <c r="E126" s="2">
        <v>71.5</v>
      </c>
      <c r="F126" s="2">
        <v>59.3</v>
      </c>
      <c r="G126" s="2" t="s">
        <v>26</v>
      </c>
      <c r="H126" t="str">
        <f t="shared" si="5"/>
        <v>Computer Science</v>
      </c>
      <c r="I126" t="str">
        <f t="shared" si="9"/>
        <v>Good Standing</v>
      </c>
      <c r="J126" t="str">
        <f t="shared" si="6"/>
        <v>Good Standing</v>
      </c>
      <c r="K126" t="str">
        <f t="shared" si="7"/>
        <v>Good Standing</v>
      </c>
      <c r="L126" t="str">
        <f t="shared" si="8"/>
        <v>Computer Science</v>
      </c>
    </row>
    <row r="127" spans="1:12">
      <c r="A127" s="2" t="s">
        <v>272</v>
      </c>
      <c r="B127" s="2" t="s">
        <v>46</v>
      </c>
      <c r="C127" s="2">
        <v>76</v>
      </c>
      <c r="D127" s="2">
        <v>69.400000000000006</v>
      </c>
      <c r="E127" s="2">
        <v>71.5</v>
      </c>
      <c r="F127" s="2">
        <v>49.2</v>
      </c>
      <c r="G127" s="2" t="s">
        <v>22</v>
      </c>
      <c r="H127" t="str">
        <f t="shared" si="5"/>
        <v>Economics</v>
      </c>
      <c r="I127" t="str">
        <f t="shared" si="9"/>
        <v>At Risk</v>
      </c>
      <c r="J127" t="str">
        <f t="shared" si="6"/>
        <v>At Risk</v>
      </c>
      <c r="K127" t="str">
        <f t="shared" si="7"/>
        <v>At Risk</v>
      </c>
      <c r="L127" t="str">
        <f t="shared" si="8"/>
        <v>Economics</v>
      </c>
    </row>
    <row r="128" spans="1:12">
      <c r="A128" s="2" t="s">
        <v>123</v>
      </c>
      <c r="B128" s="2" t="s">
        <v>24</v>
      </c>
      <c r="C128" s="2">
        <v>87.1</v>
      </c>
      <c r="D128" s="2">
        <v>77.400000000000006</v>
      </c>
      <c r="E128" s="2">
        <v>71.3</v>
      </c>
      <c r="F128" s="2">
        <v>42.3</v>
      </c>
      <c r="G128" s="2" t="s">
        <v>26</v>
      </c>
      <c r="H128" t="str">
        <f t="shared" si="5"/>
        <v>Business Administration</v>
      </c>
      <c r="I128" t="str">
        <f t="shared" si="9"/>
        <v>Good Standing</v>
      </c>
      <c r="J128" t="str">
        <f t="shared" si="6"/>
        <v>Good Standing</v>
      </c>
      <c r="K128" t="str">
        <f t="shared" si="7"/>
        <v>Good Standing</v>
      </c>
      <c r="L128" t="str">
        <f t="shared" si="8"/>
        <v>Business Administration</v>
      </c>
    </row>
    <row r="129" spans="1:12">
      <c r="A129" s="2" t="s">
        <v>317</v>
      </c>
      <c r="B129" s="2" t="s">
        <v>28</v>
      </c>
      <c r="C129" s="2">
        <v>79.099999999999994</v>
      </c>
      <c r="D129" s="2">
        <v>55.9</v>
      </c>
      <c r="E129" s="2">
        <v>71.3</v>
      </c>
      <c r="F129" s="2">
        <v>85.2</v>
      </c>
      <c r="G129" s="2" t="s">
        <v>26</v>
      </c>
      <c r="H129" t="str">
        <f t="shared" si="5"/>
        <v>Engineering</v>
      </c>
      <c r="I129" t="str">
        <f t="shared" si="9"/>
        <v>Good Standing</v>
      </c>
      <c r="J129" t="str">
        <f t="shared" si="6"/>
        <v>Good Standing</v>
      </c>
      <c r="K129" t="str">
        <f t="shared" si="7"/>
        <v>Good Standing</v>
      </c>
      <c r="L129" t="str">
        <f t="shared" si="8"/>
        <v>Engineering</v>
      </c>
    </row>
    <row r="130" spans="1:12">
      <c r="A130" s="2" t="s">
        <v>290</v>
      </c>
      <c r="B130" s="2" t="s">
        <v>21</v>
      </c>
      <c r="C130" s="2">
        <v>77.2</v>
      </c>
      <c r="D130" s="2">
        <v>51.1</v>
      </c>
      <c r="E130" s="2">
        <v>71.3</v>
      </c>
      <c r="F130" s="2">
        <v>83.6</v>
      </c>
      <c r="G130" s="2" t="s">
        <v>22</v>
      </c>
      <c r="H130" t="str">
        <f t="shared" ref="H130:H193" si="10">IF(OR(TRIM(B130)="",TRIM(B130)="-",TRIM(B130)="Unknown"),"Unknown",IF(UPPER(TRIM(B130))="CS","Computer Science",IF(UPPER(TRIM(B130))="PH","Public Health",PROPER(TRIM(B130)))))</f>
        <v>Public Health</v>
      </c>
      <c r="I130" t="str">
        <f t="shared" si="9"/>
        <v>At Risk</v>
      </c>
      <c r="J130" t="str">
        <f t="shared" ref="J130:J193" si="11">TRIM(G130)</f>
        <v>At Risk</v>
      </c>
      <c r="K130" t="str">
        <f t="shared" ref="K130:K193" si="12">TRIM(CLEAN(SUBSTITUTE(G130,CHAR(160)," ")))</f>
        <v>At Risk</v>
      </c>
      <c r="L130" t="str">
        <f t="shared" ref="L130:L193" si="13">TRIM(CLEAN(SUBSTITUTE(B130,CHAR(160)," ")))</f>
        <v>Public Health</v>
      </c>
    </row>
    <row r="131" spans="1:12">
      <c r="A131" s="2" t="s">
        <v>239</v>
      </c>
      <c r="B131" s="2" t="s">
        <v>46</v>
      </c>
      <c r="C131" s="2">
        <v>93.4</v>
      </c>
      <c r="D131" s="2">
        <v>58.3</v>
      </c>
      <c r="E131" s="2">
        <v>71.2</v>
      </c>
      <c r="F131" s="2">
        <v>52.5</v>
      </c>
      <c r="G131" s="2" t="s">
        <v>26</v>
      </c>
      <c r="H131" t="str">
        <f t="shared" si="10"/>
        <v>Economics</v>
      </c>
      <c r="I131" t="str">
        <f t="shared" ref="I131:I132" si="14">IF(OR(TRIM(G131)="",TRIM(G131)="-",UPPER(TRIM(G131))="UNKNOWN"),"Unknown",IF(OR(UPPER(TRIM(G131))="AR",UPPER(TRIM(G131))="AT RISK"),"At Risk",IF(UPPER(TRIM(G131))="GOOD STANDING","Good Standing","Unknown")))</f>
        <v>Good Standing</v>
      </c>
      <c r="J131" t="str">
        <f t="shared" si="11"/>
        <v>Good Standing</v>
      </c>
      <c r="K131" t="str">
        <f t="shared" si="12"/>
        <v>Good Standing</v>
      </c>
      <c r="L131" t="str">
        <f t="shared" si="13"/>
        <v>Economics</v>
      </c>
    </row>
    <row r="132" spans="1:12">
      <c r="A132" s="2" t="s">
        <v>27</v>
      </c>
      <c r="B132" s="2" t="s">
        <v>28</v>
      </c>
      <c r="C132" s="2">
        <v>86.7</v>
      </c>
      <c r="D132" s="2">
        <v>72.400000000000006</v>
      </c>
      <c r="E132" s="2">
        <v>71</v>
      </c>
      <c r="F132" s="2">
        <v>85.8</v>
      </c>
      <c r="G132" s="2" t="s">
        <v>26</v>
      </c>
      <c r="H132" t="str">
        <f t="shared" si="10"/>
        <v>Engineering</v>
      </c>
      <c r="I132" t="str">
        <f t="shared" si="14"/>
        <v>Good Standing</v>
      </c>
      <c r="J132" t="str">
        <f t="shared" si="11"/>
        <v>Good Standing</v>
      </c>
      <c r="K132" t="str">
        <f t="shared" si="12"/>
        <v>Good Standing</v>
      </c>
      <c r="L132" t="str">
        <f t="shared" si="13"/>
        <v>Engineering</v>
      </c>
    </row>
    <row r="133" spans="1:12">
      <c r="A133" s="2" t="s">
        <v>151</v>
      </c>
      <c r="B133" s="2" t="s">
        <v>30</v>
      </c>
      <c r="C133" s="2">
        <v>69.400000000000006</v>
      </c>
      <c r="D133" s="2">
        <v>38.5</v>
      </c>
      <c r="E133" s="2">
        <v>70.8</v>
      </c>
      <c r="F133" s="2">
        <v>74.7</v>
      </c>
      <c r="G133" s="2" t="s">
        <v>26</v>
      </c>
      <c r="H133" t="str">
        <f t="shared" si="10"/>
        <v>Computer Science</v>
      </c>
      <c r="I133" t="str">
        <f>IF(OR(TRIM(G2)="",TRIM(G2)="-",UPPER(TRIM(G2))="UNKNOWN"),"Unknown",IF(OR(UPPER(TRIM(G2))="AR",UPPER(TRIM(G2))="AT RISK"),"At Risk",IF(UPPER(TRIM(G2))="GOOD STANDING","Good Standing","Unknown")))</f>
        <v>Good Standing</v>
      </c>
      <c r="J133" t="str">
        <f t="shared" si="11"/>
        <v>Good Standing</v>
      </c>
      <c r="K133" t="str">
        <f t="shared" si="12"/>
        <v>Good Standing</v>
      </c>
      <c r="L133" t="str">
        <f t="shared" si="13"/>
        <v>Computer Science</v>
      </c>
    </row>
    <row r="134" spans="1:12">
      <c r="A134" s="2" t="s">
        <v>271</v>
      </c>
      <c r="B134" s="2" t="s">
        <v>24</v>
      </c>
      <c r="C134" s="2">
        <v>82.5</v>
      </c>
      <c r="D134" s="2">
        <v>87.7</v>
      </c>
      <c r="E134" s="2">
        <v>70.599999999999994</v>
      </c>
      <c r="F134" s="2">
        <v>71.543880000000001</v>
      </c>
      <c r="G134" s="2" t="s">
        <v>26</v>
      </c>
      <c r="H134" t="str">
        <f t="shared" si="10"/>
        <v>Business Administration</v>
      </c>
      <c r="I134" t="str">
        <f t="shared" ref="I134:I197" si="15">IF(OR(TRIM(G3)="",TRIM(G3)="-",UPPER(TRIM(G3))="UNKNOWN"),"Unknown",IF(OR(UPPER(TRIM(G3))="AR",UPPER(TRIM(G3))="AT RISK"),"At Risk",IF(UPPER(TRIM(G3))="GOOD STANDING","Good Standing","Unknown")))</f>
        <v>Good Standing</v>
      </c>
      <c r="J134" t="str">
        <f t="shared" si="11"/>
        <v>Good Standing</v>
      </c>
      <c r="K134" t="str">
        <f t="shared" si="12"/>
        <v>Good Standing</v>
      </c>
      <c r="L134" t="str">
        <f t="shared" si="13"/>
        <v>Business Administration</v>
      </c>
    </row>
    <row r="135" spans="1:12">
      <c r="A135" s="2" t="s">
        <v>266</v>
      </c>
      <c r="B135" s="2" t="s">
        <v>34</v>
      </c>
      <c r="C135" s="2">
        <v>96.2</v>
      </c>
      <c r="D135" s="2">
        <v>64.2</v>
      </c>
      <c r="E135" s="2">
        <v>70.5</v>
      </c>
      <c r="F135" s="2">
        <v>56</v>
      </c>
      <c r="G135" s="2" t="s">
        <v>26</v>
      </c>
      <c r="H135" t="str">
        <f t="shared" si="10"/>
        <v>Data Science</v>
      </c>
      <c r="I135" t="str">
        <f t="shared" si="15"/>
        <v>Good Standing</v>
      </c>
      <c r="J135" t="str">
        <f t="shared" si="11"/>
        <v>Good Standing</v>
      </c>
      <c r="K135" t="str">
        <f t="shared" si="12"/>
        <v>Good Standing</v>
      </c>
      <c r="L135" t="str">
        <f t="shared" si="13"/>
        <v>Data Science</v>
      </c>
    </row>
    <row r="136" spans="1:12">
      <c r="A136" s="2" t="s">
        <v>316</v>
      </c>
      <c r="B136" s="2" t="s">
        <v>34</v>
      </c>
      <c r="C136" s="2">
        <v>88.7</v>
      </c>
      <c r="D136" s="2">
        <v>69.8</v>
      </c>
      <c r="E136" s="2">
        <v>70.400000000000006</v>
      </c>
      <c r="F136" s="2">
        <v>63.1</v>
      </c>
      <c r="G136" s="2" t="s">
        <v>22</v>
      </c>
      <c r="H136" t="str">
        <f t="shared" si="10"/>
        <v>Data Science</v>
      </c>
      <c r="I136" t="str">
        <f t="shared" si="15"/>
        <v>At Risk</v>
      </c>
      <c r="J136" t="str">
        <f t="shared" si="11"/>
        <v>At Risk</v>
      </c>
      <c r="K136" t="str">
        <f t="shared" si="12"/>
        <v>At Risk</v>
      </c>
      <c r="L136" t="str">
        <f t="shared" si="13"/>
        <v>Data Science</v>
      </c>
    </row>
    <row r="137" spans="1:12">
      <c r="A137" s="2" t="s">
        <v>88</v>
      </c>
      <c r="B137" s="2" t="s">
        <v>34</v>
      </c>
      <c r="C137" s="2">
        <v>96.5</v>
      </c>
      <c r="D137" s="2">
        <v>78.099999999999994</v>
      </c>
      <c r="E137" s="2">
        <v>70.3</v>
      </c>
      <c r="F137" s="2">
        <v>89.1</v>
      </c>
      <c r="G137" s="2" t="s">
        <v>26</v>
      </c>
      <c r="H137" t="str">
        <f t="shared" si="10"/>
        <v>Data Science</v>
      </c>
      <c r="I137" t="str">
        <f t="shared" si="15"/>
        <v>Good Standing</v>
      </c>
      <c r="J137" t="str">
        <f t="shared" si="11"/>
        <v>Good Standing</v>
      </c>
      <c r="K137" t="str">
        <f t="shared" si="12"/>
        <v>Good Standing</v>
      </c>
      <c r="L137" t="str">
        <f t="shared" si="13"/>
        <v>Data Science</v>
      </c>
    </row>
    <row r="138" spans="1:12">
      <c r="A138" s="2" t="s">
        <v>250</v>
      </c>
      <c r="B138" s="2" t="s">
        <v>30</v>
      </c>
      <c r="C138" s="2">
        <v>72.2</v>
      </c>
      <c r="D138" s="2">
        <v>71.099999999999994</v>
      </c>
      <c r="E138" s="2">
        <v>69.8</v>
      </c>
      <c r="F138" s="2">
        <v>76.5</v>
      </c>
      <c r="G138" s="2" t="s">
        <v>26</v>
      </c>
      <c r="H138" t="str">
        <f t="shared" si="10"/>
        <v>Computer Science</v>
      </c>
      <c r="I138" t="str">
        <f t="shared" si="15"/>
        <v>Good Standing</v>
      </c>
      <c r="J138" t="str">
        <f t="shared" si="11"/>
        <v>Good Standing</v>
      </c>
      <c r="K138" t="str">
        <f t="shared" si="12"/>
        <v>Good Standing</v>
      </c>
      <c r="L138" t="str">
        <f t="shared" si="13"/>
        <v>Computer Science</v>
      </c>
    </row>
    <row r="139" spans="1:12">
      <c r="A139" s="2" t="s">
        <v>119</v>
      </c>
      <c r="B139" s="2" t="s">
        <v>21</v>
      </c>
      <c r="C139" s="2">
        <v>57.3</v>
      </c>
      <c r="D139" s="2">
        <v>84.6</v>
      </c>
      <c r="E139" s="2">
        <v>69.7</v>
      </c>
      <c r="F139" s="2">
        <v>49.2</v>
      </c>
      <c r="G139" s="2" t="s">
        <v>26</v>
      </c>
      <c r="H139" t="str">
        <f t="shared" si="10"/>
        <v>Public Health</v>
      </c>
      <c r="I139" t="str">
        <f t="shared" si="15"/>
        <v>Good Standing</v>
      </c>
      <c r="J139" t="str">
        <f t="shared" si="11"/>
        <v>Good Standing</v>
      </c>
      <c r="K139" t="str">
        <f t="shared" si="12"/>
        <v>Good Standing</v>
      </c>
      <c r="L139" t="str">
        <f t="shared" si="13"/>
        <v>Public Health</v>
      </c>
    </row>
    <row r="140" spans="1:12">
      <c r="A140" s="2" t="s">
        <v>144</v>
      </c>
      <c r="B140" s="2" t="s">
        <v>21</v>
      </c>
      <c r="C140" s="2">
        <v>58.7</v>
      </c>
      <c r="D140" s="2">
        <v>62.5</v>
      </c>
      <c r="E140" s="2">
        <v>69.7</v>
      </c>
      <c r="F140" s="2">
        <v>80.400000000000006</v>
      </c>
      <c r="G140" s="2" t="s">
        <v>26</v>
      </c>
      <c r="H140" t="str">
        <f t="shared" si="10"/>
        <v>Public Health</v>
      </c>
      <c r="I140" t="str">
        <f t="shared" si="15"/>
        <v>Good Standing</v>
      </c>
      <c r="J140" t="str">
        <f t="shared" si="11"/>
        <v>Good Standing</v>
      </c>
      <c r="K140" t="str">
        <f t="shared" si="12"/>
        <v>Good Standing</v>
      </c>
      <c r="L140" t="str">
        <f t="shared" si="13"/>
        <v>Public Health</v>
      </c>
    </row>
    <row r="141" spans="1:12">
      <c r="A141" s="2" t="s">
        <v>161</v>
      </c>
      <c r="B141" s="2" t="s">
        <v>24</v>
      </c>
      <c r="C141" s="2">
        <v>58.7</v>
      </c>
      <c r="D141" s="2">
        <v>64.7</v>
      </c>
      <c r="E141" s="2">
        <v>69.5</v>
      </c>
      <c r="F141" s="2">
        <v>69.3</v>
      </c>
      <c r="G141" s="2" t="s">
        <v>22</v>
      </c>
      <c r="H141" t="str">
        <f t="shared" si="10"/>
        <v>Business Administration</v>
      </c>
      <c r="I141" t="str">
        <f t="shared" si="15"/>
        <v>At Risk</v>
      </c>
      <c r="J141" t="str">
        <f t="shared" si="11"/>
        <v>At Risk</v>
      </c>
      <c r="K141" t="str">
        <f t="shared" si="12"/>
        <v>At Risk</v>
      </c>
      <c r="L141" t="str">
        <f t="shared" si="13"/>
        <v>Business Administration</v>
      </c>
    </row>
    <row r="142" spans="1:12">
      <c r="A142" s="2" t="s">
        <v>314</v>
      </c>
      <c r="B142" s="2" t="s">
        <v>91</v>
      </c>
      <c r="C142" s="2">
        <v>61.9</v>
      </c>
      <c r="D142" s="2">
        <v>78.400000000000006</v>
      </c>
      <c r="E142" s="2">
        <v>69</v>
      </c>
      <c r="F142" s="2">
        <v>90.6</v>
      </c>
      <c r="G142" s="2" t="s">
        <v>26</v>
      </c>
      <c r="H142" t="str">
        <f t="shared" si="10"/>
        <v>Unknown</v>
      </c>
      <c r="I142" t="str">
        <f t="shared" si="15"/>
        <v>Good Standing</v>
      </c>
      <c r="J142" t="str">
        <f t="shared" si="11"/>
        <v>Good Standing</v>
      </c>
      <c r="K142" t="str">
        <f t="shared" si="12"/>
        <v>Good Standing</v>
      </c>
      <c r="L142" t="str">
        <f t="shared" si="13"/>
        <v>Unknown</v>
      </c>
    </row>
    <row r="143" spans="1:12">
      <c r="A143" s="2" t="s">
        <v>109</v>
      </c>
      <c r="B143" s="2" t="s">
        <v>28</v>
      </c>
      <c r="C143" s="2">
        <v>90.5</v>
      </c>
      <c r="D143" s="2">
        <v>69.8</v>
      </c>
      <c r="E143" s="2">
        <v>68.3</v>
      </c>
      <c r="F143" s="2">
        <v>71.2</v>
      </c>
      <c r="G143" s="2" t="s">
        <v>22</v>
      </c>
      <c r="H143" t="str">
        <f t="shared" si="10"/>
        <v>Engineering</v>
      </c>
      <c r="I143" t="str">
        <f t="shared" si="15"/>
        <v>At Risk</v>
      </c>
      <c r="J143" t="str">
        <f t="shared" si="11"/>
        <v>At Risk</v>
      </c>
      <c r="K143" t="str">
        <f t="shared" si="12"/>
        <v>At Risk</v>
      </c>
      <c r="L143" t="str">
        <f t="shared" si="13"/>
        <v>Engineering</v>
      </c>
    </row>
    <row r="144" spans="1:12">
      <c r="A144" s="2" t="s">
        <v>48</v>
      </c>
      <c r="B144" s="2" t="s">
        <v>46</v>
      </c>
      <c r="C144" s="2">
        <v>58.7</v>
      </c>
      <c r="D144" s="2">
        <v>91</v>
      </c>
      <c r="E144" s="2">
        <v>68</v>
      </c>
      <c r="F144" s="2">
        <v>69.099999999999994</v>
      </c>
      <c r="G144" s="2" t="s">
        <v>22</v>
      </c>
      <c r="H144" t="str">
        <f t="shared" si="10"/>
        <v>Economics</v>
      </c>
      <c r="I144" t="str">
        <f t="shared" si="15"/>
        <v>At Risk</v>
      </c>
      <c r="J144" t="str">
        <f t="shared" si="11"/>
        <v>At Risk</v>
      </c>
      <c r="K144" t="str">
        <f t="shared" si="12"/>
        <v>At Risk</v>
      </c>
      <c r="L144" t="str">
        <f t="shared" si="13"/>
        <v>Economics</v>
      </c>
    </row>
    <row r="145" spans="1:12">
      <c r="A145" s="2" t="s">
        <v>237</v>
      </c>
      <c r="B145" s="2" t="s">
        <v>21</v>
      </c>
      <c r="C145" s="2">
        <v>75.599999999999994</v>
      </c>
      <c r="D145" s="2">
        <v>37.200000000000003</v>
      </c>
      <c r="E145" s="2">
        <v>68</v>
      </c>
      <c r="F145" s="2">
        <v>71.543880000000001</v>
      </c>
      <c r="G145" s="2" t="s">
        <v>91</v>
      </c>
      <c r="H145" t="str">
        <f t="shared" si="10"/>
        <v>Public Health</v>
      </c>
      <c r="I145" t="str">
        <f t="shared" si="15"/>
        <v>Unknown</v>
      </c>
      <c r="J145" t="str">
        <f t="shared" si="11"/>
        <v>Unknown</v>
      </c>
      <c r="K145" t="str">
        <f t="shared" si="12"/>
        <v>Unknown</v>
      </c>
      <c r="L145" t="str">
        <f t="shared" si="13"/>
        <v>Public Health</v>
      </c>
    </row>
    <row r="146" spans="1:12">
      <c r="A146" s="2" t="s">
        <v>90</v>
      </c>
      <c r="B146" s="2" t="s">
        <v>24</v>
      </c>
      <c r="C146" s="2">
        <v>76.599999999999994</v>
      </c>
      <c r="D146" s="2">
        <v>45.1</v>
      </c>
      <c r="E146" s="2">
        <v>67.900000000000006</v>
      </c>
      <c r="F146" s="2">
        <v>50.7</v>
      </c>
      <c r="G146" s="2" t="s">
        <v>26</v>
      </c>
      <c r="H146" t="str">
        <f t="shared" si="10"/>
        <v>Business Administration</v>
      </c>
      <c r="I146" t="str">
        <f t="shared" si="15"/>
        <v>Good Standing</v>
      </c>
      <c r="J146" t="str">
        <f t="shared" si="11"/>
        <v>Good Standing</v>
      </c>
      <c r="K146" t="str">
        <f t="shared" si="12"/>
        <v>Good Standing</v>
      </c>
      <c r="L146" t="str">
        <f t="shared" si="13"/>
        <v>Business Administration</v>
      </c>
    </row>
    <row r="147" spans="1:12">
      <c r="A147" s="2" t="s">
        <v>234</v>
      </c>
      <c r="B147" s="2" t="s">
        <v>34</v>
      </c>
      <c r="C147" s="2">
        <v>90.5</v>
      </c>
      <c r="D147" s="2">
        <v>82.5</v>
      </c>
      <c r="E147" s="2">
        <v>67.599999999999994</v>
      </c>
      <c r="F147" s="2">
        <v>84.2</v>
      </c>
      <c r="G147" s="2" t="s">
        <v>26</v>
      </c>
      <c r="H147" t="str">
        <f t="shared" si="10"/>
        <v>Data Science</v>
      </c>
      <c r="I147" t="str">
        <f t="shared" si="15"/>
        <v>Good Standing</v>
      </c>
      <c r="J147" t="str">
        <f t="shared" si="11"/>
        <v>Good Standing</v>
      </c>
      <c r="K147" t="str">
        <f t="shared" si="12"/>
        <v>Good Standing</v>
      </c>
      <c r="L147" t="str">
        <f t="shared" si="13"/>
        <v>Data Science</v>
      </c>
    </row>
    <row r="148" spans="1:12">
      <c r="A148" s="2" t="s">
        <v>222</v>
      </c>
      <c r="B148" s="2" t="s">
        <v>21</v>
      </c>
      <c r="C148" s="2">
        <v>80</v>
      </c>
      <c r="D148" s="2">
        <v>69.8</v>
      </c>
      <c r="E148" s="2">
        <v>67.3</v>
      </c>
      <c r="F148" s="2">
        <v>64.599999999999994</v>
      </c>
      <c r="G148" s="2" t="s">
        <v>22</v>
      </c>
      <c r="H148" t="str">
        <f t="shared" si="10"/>
        <v>Public Health</v>
      </c>
      <c r="I148" t="str">
        <f t="shared" si="15"/>
        <v>At Risk</v>
      </c>
      <c r="J148" t="str">
        <f t="shared" si="11"/>
        <v>At Risk</v>
      </c>
      <c r="K148" t="str">
        <f t="shared" si="12"/>
        <v>At Risk</v>
      </c>
      <c r="L148" t="str">
        <f t="shared" si="13"/>
        <v>Public Health</v>
      </c>
    </row>
    <row r="149" spans="1:12">
      <c r="A149" s="2" t="s">
        <v>122</v>
      </c>
      <c r="B149" s="2" t="s">
        <v>91</v>
      </c>
      <c r="C149" s="2">
        <v>58.7</v>
      </c>
      <c r="D149" s="2">
        <v>58.7</v>
      </c>
      <c r="E149" s="2">
        <v>67.2</v>
      </c>
      <c r="F149" s="2">
        <v>76.5</v>
      </c>
      <c r="G149" s="2" t="s">
        <v>26</v>
      </c>
      <c r="H149" t="str">
        <f t="shared" si="10"/>
        <v>Unknown</v>
      </c>
      <c r="I149" t="str">
        <f t="shared" si="15"/>
        <v>Good Standing</v>
      </c>
      <c r="J149" t="str">
        <f t="shared" si="11"/>
        <v>Good Standing</v>
      </c>
      <c r="K149" t="str">
        <f t="shared" si="12"/>
        <v>Good Standing</v>
      </c>
      <c r="L149" t="str">
        <f t="shared" si="13"/>
        <v>Unknown</v>
      </c>
    </row>
    <row r="150" spans="1:12">
      <c r="A150" s="2" t="s">
        <v>309</v>
      </c>
      <c r="B150" s="2" t="s">
        <v>28</v>
      </c>
      <c r="C150" s="2">
        <v>58.5</v>
      </c>
      <c r="D150" s="2">
        <v>88</v>
      </c>
      <c r="E150" s="2">
        <v>67.099999999999994</v>
      </c>
      <c r="F150" s="2">
        <v>54.1</v>
      </c>
      <c r="G150" s="2" t="s">
        <v>26</v>
      </c>
      <c r="H150" t="str">
        <f t="shared" si="10"/>
        <v>Engineering</v>
      </c>
      <c r="I150" t="str">
        <f t="shared" si="15"/>
        <v>Good Standing</v>
      </c>
      <c r="J150" t="str">
        <f t="shared" si="11"/>
        <v>Good Standing</v>
      </c>
      <c r="K150" t="str">
        <f t="shared" si="12"/>
        <v>Good Standing</v>
      </c>
      <c r="L150" t="str">
        <f t="shared" si="13"/>
        <v>Engineering</v>
      </c>
    </row>
    <row r="151" spans="1:12">
      <c r="A151" s="2" t="s">
        <v>64</v>
      </c>
      <c r="B151" s="2" t="s">
        <v>30</v>
      </c>
      <c r="C151" s="2">
        <v>95</v>
      </c>
      <c r="D151" s="2">
        <v>95.2</v>
      </c>
      <c r="E151" s="2">
        <v>67</v>
      </c>
      <c r="F151" s="2">
        <v>80.099999999999994</v>
      </c>
      <c r="G151" s="2" t="s">
        <v>26</v>
      </c>
      <c r="H151" t="str">
        <f t="shared" si="10"/>
        <v>Computer Science</v>
      </c>
      <c r="I151" t="str">
        <f t="shared" si="15"/>
        <v>Good Standing</v>
      </c>
      <c r="J151" t="str">
        <f t="shared" si="11"/>
        <v>Good Standing</v>
      </c>
      <c r="K151" t="str">
        <f t="shared" si="12"/>
        <v>Good Standing</v>
      </c>
      <c r="L151" t="str">
        <f t="shared" si="13"/>
        <v>Computer Science</v>
      </c>
    </row>
    <row r="152" spans="1:12">
      <c r="A152" s="2" t="s">
        <v>304</v>
      </c>
      <c r="B152" s="2" t="s">
        <v>24</v>
      </c>
      <c r="C152" s="2">
        <v>79.8</v>
      </c>
      <c r="D152" s="2">
        <v>42.7</v>
      </c>
      <c r="E152" s="2">
        <v>66.5</v>
      </c>
      <c r="F152" s="2">
        <v>75.2</v>
      </c>
      <c r="G152" s="2" t="s">
        <v>26</v>
      </c>
      <c r="H152" t="str">
        <f t="shared" si="10"/>
        <v>Business Administration</v>
      </c>
      <c r="I152" t="str">
        <f t="shared" si="15"/>
        <v>Good Standing</v>
      </c>
      <c r="J152" t="str">
        <f t="shared" si="11"/>
        <v>Good Standing</v>
      </c>
      <c r="K152" t="str">
        <f t="shared" si="12"/>
        <v>Good Standing</v>
      </c>
      <c r="L152" t="str">
        <f t="shared" si="13"/>
        <v>Business Administration</v>
      </c>
    </row>
    <row r="153" spans="1:12">
      <c r="A153" s="2" t="s">
        <v>213</v>
      </c>
      <c r="B153" s="2" t="s">
        <v>34</v>
      </c>
      <c r="C153" s="2">
        <v>85.1</v>
      </c>
      <c r="D153" s="2">
        <v>67.5</v>
      </c>
      <c r="E153" s="2">
        <v>66.3</v>
      </c>
      <c r="F153" s="2">
        <v>64.099999999999994</v>
      </c>
      <c r="G153" s="2" t="s">
        <v>26</v>
      </c>
      <c r="H153" t="str">
        <f t="shared" si="10"/>
        <v>Data Science</v>
      </c>
      <c r="I153" t="str">
        <f t="shared" si="15"/>
        <v>Good Standing</v>
      </c>
      <c r="J153" t="str">
        <f t="shared" si="11"/>
        <v>Good Standing</v>
      </c>
      <c r="K153" t="str">
        <f t="shared" si="12"/>
        <v>Good Standing</v>
      </c>
      <c r="L153" t="str">
        <f t="shared" si="13"/>
        <v>Data Science</v>
      </c>
    </row>
    <row r="154" spans="1:12">
      <c r="A154" s="2" t="s">
        <v>200</v>
      </c>
      <c r="B154" s="2" t="s">
        <v>21</v>
      </c>
      <c r="C154" s="2">
        <v>85</v>
      </c>
      <c r="D154" s="2">
        <v>47.5</v>
      </c>
      <c r="E154" s="2">
        <v>66.2</v>
      </c>
      <c r="F154" s="2">
        <v>98</v>
      </c>
      <c r="G154" s="2" t="s">
        <v>26</v>
      </c>
      <c r="H154" t="str">
        <f t="shared" si="10"/>
        <v>Public Health</v>
      </c>
      <c r="I154" t="str">
        <f t="shared" si="15"/>
        <v>Good Standing</v>
      </c>
      <c r="J154" t="str">
        <f t="shared" si="11"/>
        <v>Good Standing</v>
      </c>
      <c r="K154" t="str">
        <f t="shared" si="12"/>
        <v>Good Standing</v>
      </c>
      <c r="L154" t="str">
        <f t="shared" si="13"/>
        <v>Public Health</v>
      </c>
    </row>
    <row r="155" spans="1:12">
      <c r="A155" s="2" t="s">
        <v>43</v>
      </c>
      <c r="B155" s="2" t="s">
        <v>24</v>
      </c>
      <c r="C155" s="2">
        <v>73.099999999999994</v>
      </c>
      <c r="D155" s="2">
        <v>58.5</v>
      </c>
      <c r="E155" s="2">
        <v>66.099999999999994</v>
      </c>
      <c r="F155" s="2">
        <v>69.7</v>
      </c>
      <c r="G155" s="2" t="s">
        <v>26</v>
      </c>
      <c r="H155" t="str">
        <f t="shared" si="10"/>
        <v>Business Administration</v>
      </c>
      <c r="I155" t="str">
        <f t="shared" si="15"/>
        <v>Good Standing</v>
      </c>
      <c r="J155" t="str">
        <f t="shared" si="11"/>
        <v>Good Standing</v>
      </c>
      <c r="K155" t="str">
        <f t="shared" si="12"/>
        <v>Good Standing</v>
      </c>
      <c r="L155" t="str">
        <f t="shared" si="13"/>
        <v>Business Administration</v>
      </c>
    </row>
    <row r="156" spans="1:12">
      <c r="A156" s="2" t="s">
        <v>317</v>
      </c>
      <c r="B156" s="2" t="s">
        <v>30</v>
      </c>
      <c r="C156" s="2">
        <v>69.2</v>
      </c>
      <c r="D156" s="2">
        <v>64.3</v>
      </c>
      <c r="E156" s="2">
        <v>66.099999999999994</v>
      </c>
      <c r="F156" s="2">
        <v>93.6</v>
      </c>
      <c r="G156" s="2" t="s">
        <v>26</v>
      </c>
      <c r="H156" t="str">
        <f t="shared" si="10"/>
        <v>Computer Science</v>
      </c>
      <c r="I156" t="str">
        <f t="shared" si="15"/>
        <v>Good Standing</v>
      </c>
      <c r="J156" t="str">
        <f t="shared" si="11"/>
        <v>Good Standing</v>
      </c>
      <c r="K156" t="str">
        <f t="shared" si="12"/>
        <v>Good Standing</v>
      </c>
      <c r="L156" t="str">
        <f t="shared" si="13"/>
        <v>Computer Science</v>
      </c>
    </row>
    <row r="157" spans="1:12">
      <c r="A157" s="2" t="s">
        <v>215</v>
      </c>
      <c r="B157" s="2" t="s">
        <v>34</v>
      </c>
      <c r="C157" s="2">
        <v>71.7</v>
      </c>
      <c r="D157" s="2">
        <v>83.4</v>
      </c>
      <c r="E157" s="2">
        <v>66.099999999999994</v>
      </c>
      <c r="F157" s="2">
        <v>89.8</v>
      </c>
      <c r="G157" s="2" t="s">
        <v>26</v>
      </c>
      <c r="H157" t="str">
        <f t="shared" si="10"/>
        <v>Data Science</v>
      </c>
      <c r="I157" t="str">
        <f t="shared" si="15"/>
        <v>Good Standing</v>
      </c>
      <c r="J157" t="str">
        <f t="shared" si="11"/>
        <v>Good Standing</v>
      </c>
      <c r="K157" t="str">
        <f t="shared" si="12"/>
        <v>Good Standing</v>
      </c>
      <c r="L157" t="str">
        <f t="shared" si="13"/>
        <v>Data Science</v>
      </c>
    </row>
    <row r="158" spans="1:12">
      <c r="A158" s="2" t="s">
        <v>230</v>
      </c>
      <c r="B158" s="2" t="s">
        <v>34</v>
      </c>
      <c r="C158" s="2">
        <v>82.7</v>
      </c>
      <c r="D158" s="2">
        <v>88</v>
      </c>
      <c r="E158" s="2">
        <v>66.099999999999994</v>
      </c>
      <c r="F158" s="2">
        <v>89.9</v>
      </c>
      <c r="G158" s="2" t="s">
        <v>26</v>
      </c>
      <c r="H158" t="str">
        <f t="shared" si="10"/>
        <v>Data Science</v>
      </c>
      <c r="I158" t="str">
        <f t="shared" si="15"/>
        <v>Good Standing</v>
      </c>
      <c r="J158" t="str">
        <f t="shared" si="11"/>
        <v>Good Standing</v>
      </c>
      <c r="K158" t="str">
        <f t="shared" si="12"/>
        <v>Good Standing</v>
      </c>
      <c r="L158" t="str">
        <f t="shared" si="13"/>
        <v>Data Science</v>
      </c>
    </row>
    <row r="159" spans="1:12">
      <c r="A159" s="2" t="s">
        <v>76</v>
      </c>
      <c r="B159" s="2" t="s">
        <v>30</v>
      </c>
      <c r="C159" s="2">
        <v>97.1</v>
      </c>
      <c r="D159" s="2">
        <v>78</v>
      </c>
      <c r="E159" s="2">
        <v>66</v>
      </c>
      <c r="F159" s="2">
        <v>66.099999999999994</v>
      </c>
      <c r="G159" s="2" t="s">
        <v>22</v>
      </c>
      <c r="H159" t="str">
        <f t="shared" si="10"/>
        <v>Computer Science</v>
      </c>
      <c r="I159" t="str">
        <f t="shared" si="15"/>
        <v>At Risk</v>
      </c>
      <c r="J159" t="str">
        <f t="shared" si="11"/>
        <v>At Risk</v>
      </c>
      <c r="K159" t="str">
        <f t="shared" si="12"/>
        <v>At Risk</v>
      </c>
      <c r="L159" t="str">
        <f t="shared" si="13"/>
        <v>Computer Science</v>
      </c>
    </row>
    <row r="160" spans="1:12">
      <c r="A160" s="2" t="s">
        <v>192</v>
      </c>
      <c r="B160" s="2" t="s">
        <v>21</v>
      </c>
      <c r="C160" s="2">
        <v>100</v>
      </c>
      <c r="D160" s="2">
        <v>75.7</v>
      </c>
      <c r="E160" s="2">
        <v>66</v>
      </c>
      <c r="F160" s="2">
        <v>75.2</v>
      </c>
      <c r="G160" s="2" t="s">
        <v>26</v>
      </c>
      <c r="H160" t="str">
        <f t="shared" si="10"/>
        <v>Public Health</v>
      </c>
      <c r="I160" t="str">
        <f t="shared" si="15"/>
        <v>Good Standing</v>
      </c>
      <c r="J160" t="str">
        <f t="shared" si="11"/>
        <v>Good Standing</v>
      </c>
      <c r="K160" t="str">
        <f t="shared" si="12"/>
        <v>Good Standing</v>
      </c>
      <c r="L160" t="str">
        <f t="shared" si="13"/>
        <v>Public Health</v>
      </c>
    </row>
    <row r="161" spans="1:12">
      <c r="A161" s="2" t="s">
        <v>97</v>
      </c>
      <c r="B161" s="2" t="s">
        <v>28</v>
      </c>
      <c r="C161" s="2">
        <v>86.4</v>
      </c>
      <c r="D161" s="2">
        <v>53.2</v>
      </c>
      <c r="E161" s="2">
        <v>65.900000000000006</v>
      </c>
      <c r="F161" s="2">
        <v>92.9</v>
      </c>
      <c r="G161" s="2" t="s">
        <v>26</v>
      </c>
      <c r="H161" t="str">
        <f t="shared" si="10"/>
        <v>Engineering</v>
      </c>
      <c r="I161" t="str">
        <f t="shared" si="15"/>
        <v>Good Standing</v>
      </c>
      <c r="J161" t="str">
        <f t="shared" si="11"/>
        <v>Good Standing</v>
      </c>
      <c r="K161" t="str">
        <f t="shared" si="12"/>
        <v>Good Standing</v>
      </c>
      <c r="L161" t="str">
        <f t="shared" si="13"/>
        <v>Engineering</v>
      </c>
    </row>
    <row r="162" spans="1:12">
      <c r="A162" s="2" t="s">
        <v>101</v>
      </c>
      <c r="B162" s="2" t="s">
        <v>46</v>
      </c>
      <c r="C162" s="2">
        <v>91.1</v>
      </c>
      <c r="D162" s="2">
        <v>74.8</v>
      </c>
      <c r="E162" s="2">
        <v>65.8</v>
      </c>
      <c r="F162" s="2">
        <v>63.1</v>
      </c>
      <c r="G162" s="2" t="s">
        <v>26</v>
      </c>
      <c r="H162" t="str">
        <f t="shared" si="10"/>
        <v>Economics</v>
      </c>
      <c r="I162" t="str">
        <f t="shared" si="15"/>
        <v>Good Standing</v>
      </c>
      <c r="J162" t="str">
        <f t="shared" si="11"/>
        <v>Good Standing</v>
      </c>
      <c r="K162" t="str">
        <f t="shared" si="12"/>
        <v>Good Standing</v>
      </c>
      <c r="L162" t="str">
        <f t="shared" si="13"/>
        <v>Economics</v>
      </c>
    </row>
    <row r="163" spans="1:12">
      <c r="A163" s="2" t="s">
        <v>112</v>
      </c>
      <c r="B163" s="2" t="s">
        <v>30</v>
      </c>
      <c r="C163" s="2">
        <v>72.8</v>
      </c>
      <c r="D163" s="2">
        <v>81.3</v>
      </c>
      <c r="E163" s="2">
        <v>65.8</v>
      </c>
      <c r="F163" s="2">
        <v>31.9</v>
      </c>
      <c r="G163" s="2" t="s">
        <v>22</v>
      </c>
      <c r="H163" t="str">
        <f t="shared" si="10"/>
        <v>Computer Science</v>
      </c>
      <c r="I163" t="str">
        <f t="shared" si="15"/>
        <v>At Risk</v>
      </c>
      <c r="J163" t="str">
        <f t="shared" si="11"/>
        <v>At Risk</v>
      </c>
      <c r="K163" t="str">
        <f t="shared" si="12"/>
        <v>At Risk</v>
      </c>
      <c r="L163" t="str">
        <f t="shared" si="13"/>
        <v>Computer Science</v>
      </c>
    </row>
    <row r="164" spans="1:12">
      <c r="A164" s="2" t="s">
        <v>236</v>
      </c>
      <c r="B164" s="2" t="s">
        <v>28</v>
      </c>
      <c r="C164" s="2">
        <v>81.599999999999994</v>
      </c>
      <c r="D164" s="2">
        <v>74</v>
      </c>
      <c r="E164" s="2">
        <v>65.5</v>
      </c>
      <c r="F164" s="2">
        <v>62.2</v>
      </c>
      <c r="G164" s="2" t="s">
        <v>91</v>
      </c>
      <c r="H164" t="str">
        <f t="shared" si="10"/>
        <v>Engineering</v>
      </c>
      <c r="I164" t="str">
        <f t="shared" si="15"/>
        <v>Unknown</v>
      </c>
      <c r="J164" t="str">
        <f t="shared" si="11"/>
        <v>Unknown</v>
      </c>
      <c r="K164" t="str">
        <f t="shared" si="12"/>
        <v>Unknown</v>
      </c>
      <c r="L164" t="str">
        <f t="shared" si="13"/>
        <v>Engineering</v>
      </c>
    </row>
    <row r="165" spans="1:12">
      <c r="A165" s="2" t="s">
        <v>153</v>
      </c>
      <c r="B165" s="2" t="s">
        <v>34</v>
      </c>
      <c r="C165" s="2">
        <v>96.8</v>
      </c>
      <c r="D165" s="2">
        <v>74.2</v>
      </c>
      <c r="E165" s="2">
        <v>65.400000000000006</v>
      </c>
      <c r="F165" s="2">
        <v>54.4</v>
      </c>
      <c r="G165" s="2" t="s">
        <v>26</v>
      </c>
      <c r="H165" t="str">
        <f t="shared" si="10"/>
        <v>Data Science</v>
      </c>
      <c r="I165" t="str">
        <f t="shared" si="15"/>
        <v>Good Standing</v>
      </c>
      <c r="J165" t="str">
        <f t="shared" si="11"/>
        <v>Good Standing</v>
      </c>
      <c r="K165" t="str">
        <f t="shared" si="12"/>
        <v>Good Standing</v>
      </c>
      <c r="L165" t="str">
        <f t="shared" si="13"/>
        <v>Data Science</v>
      </c>
    </row>
    <row r="166" spans="1:12">
      <c r="A166" s="2" t="s">
        <v>94</v>
      </c>
      <c r="B166" s="2" t="s">
        <v>46</v>
      </c>
      <c r="C166" s="2">
        <v>76</v>
      </c>
      <c r="D166" s="2">
        <v>82.2</v>
      </c>
      <c r="E166" s="2">
        <v>65.2</v>
      </c>
      <c r="F166" s="2">
        <v>75.2</v>
      </c>
      <c r="G166" s="2" t="s">
        <v>26</v>
      </c>
      <c r="H166" t="str">
        <f t="shared" si="10"/>
        <v>Economics</v>
      </c>
      <c r="I166" t="str">
        <f t="shared" si="15"/>
        <v>Good Standing</v>
      </c>
      <c r="J166" t="str">
        <f t="shared" si="11"/>
        <v>Good Standing</v>
      </c>
      <c r="K166" t="str">
        <f t="shared" si="12"/>
        <v>Good Standing</v>
      </c>
      <c r="L166" t="str">
        <f t="shared" si="13"/>
        <v>Economics</v>
      </c>
    </row>
    <row r="167" spans="1:12">
      <c r="A167" s="2" t="s">
        <v>113</v>
      </c>
      <c r="B167" s="2" t="s">
        <v>24</v>
      </c>
      <c r="C167" s="2">
        <v>90.8</v>
      </c>
      <c r="D167" s="2">
        <v>72.7</v>
      </c>
      <c r="E167" s="2">
        <v>65.099999999999994</v>
      </c>
      <c r="F167" s="2">
        <v>99</v>
      </c>
      <c r="G167" s="2" t="s">
        <v>26</v>
      </c>
      <c r="H167" t="str">
        <f t="shared" si="10"/>
        <v>Business Administration</v>
      </c>
      <c r="I167" t="str">
        <f t="shared" si="15"/>
        <v>Good Standing</v>
      </c>
      <c r="J167" t="str">
        <f t="shared" si="11"/>
        <v>Good Standing</v>
      </c>
      <c r="K167" t="str">
        <f t="shared" si="12"/>
        <v>Good Standing</v>
      </c>
      <c r="L167" t="str">
        <f t="shared" si="13"/>
        <v>Business Administration</v>
      </c>
    </row>
    <row r="168" spans="1:12">
      <c r="A168" s="2" t="s">
        <v>195</v>
      </c>
      <c r="B168" s="2" t="s">
        <v>46</v>
      </c>
      <c r="C168" s="2">
        <v>79.099999999999994</v>
      </c>
      <c r="D168" s="2">
        <v>39</v>
      </c>
      <c r="E168" s="2">
        <v>65</v>
      </c>
      <c r="F168" s="2">
        <v>71.2</v>
      </c>
      <c r="G168" s="2" t="s">
        <v>26</v>
      </c>
      <c r="H168" t="str">
        <f t="shared" si="10"/>
        <v>Economics</v>
      </c>
      <c r="I168" t="str">
        <f t="shared" si="15"/>
        <v>Good Standing</v>
      </c>
      <c r="J168" t="str">
        <f t="shared" si="11"/>
        <v>Good Standing</v>
      </c>
      <c r="K168" t="str">
        <f t="shared" si="12"/>
        <v>Good Standing</v>
      </c>
      <c r="L168" t="str">
        <f t="shared" si="13"/>
        <v>Economics</v>
      </c>
    </row>
    <row r="169" spans="1:12">
      <c r="A169" s="2" t="s">
        <v>162</v>
      </c>
      <c r="B169" s="2" t="s">
        <v>24</v>
      </c>
      <c r="C169" s="2">
        <v>97.2</v>
      </c>
      <c r="D169" s="2">
        <v>91.4</v>
      </c>
      <c r="E169" s="2">
        <v>64.7</v>
      </c>
      <c r="F169" s="2">
        <v>60</v>
      </c>
      <c r="G169" s="2" t="s">
        <v>26</v>
      </c>
      <c r="H169" t="str">
        <f t="shared" si="10"/>
        <v>Business Administration</v>
      </c>
      <c r="I169" t="str">
        <f t="shared" si="15"/>
        <v>Good Standing</v>
      </c>
      <c r="J169" t="str">
        <f t="shared" si="11"/>
        <v>Good Standing</v>
      </c>
      <c r="K169" t="str">
        <f t="shared" si="12"/>
        <v>Good Standing</v>
      </c>
      <c r="L169" t="str">
        <f t="shared" si="13"/>
        <v>Business Administration</v>
      </c>
    </row>
    <row r="170" spans="1:12">
      <c r="A170" s="2" t="s">
        <v>216</v>
      </c>
      <c r="B170" s="2" t="s">
        <v>91</v>
      </c>
      <c r="C170" s="2">
        <v>76.2</v>
      </c>
      <c r="D170" s="2">
        <v>-10</v>
      </c>
      <c r="E170" s="2">
        <v>64.5</v>
      </c>
      <c r="F170" s="2">
        <v>62.7</v>
      </c>
      <c r="G170" s="2" t="s">
        <v>26</v>
      </c>
      <c r="H170" t="str">
        <f t="shared" si="10"/>
        <v>Unknown</v>
      </c>
      <c r="I170" t="str">
        <f t="shared" si="15"/>
        <v>Good Standing</v>
      </c>
      <c r="J170" t="str">
        <f t="shared" si="11"/>
        <v>Good Standing</v>
      </c>
      <c r="K170" t="str">
        <f t="shared" si="12"/>
        <v>Good Standing</v>
      </c>
      <c r="L170" t="str">
        <f t="shared" si="13"/>
        <v>Unknown</v>
      </c>
    </row>
    <row r="171" spans="1:12">
      <c r="A171" s="2" t="s">
        <v>190</v>
      </c>
      <c r="B171" s="2" t="s">
        <v>21</v>
      </c>
      <c r="C171" s="2">
        <v>57</v>
      </c>
      <c r="D171" s="2">
        <v>86</v>
      </c>
      <c r="E171" s="2">
        <v>64.400000000000006</v>
      </c>
      <c r="F171" s="2">
        <v>75.599999999999994</v>
      </c>
      <c r="G171" s="2" t="s">
        <v>91</v>
      </c>
      <c r="H171" t="str">
        <f t="shared" si="10"/>
        <v>Public Health</v>
      </c>
      <c r="I171" t="str">
        <f t="shared" si="15"/>
        <v>Unknown</v>
      </c>
      <c r="J171" t="str">
        <f t="shared" si="11"/>
        <v>Unknown</v>
      </c>
      <c r="K171" t="str">
        <f t="shared" si="12"/>
        <v>Unknown</v>
      </c>
      <c r="L171" t="str">
        <f t="shared" si="13"/>
        <v>Public Health</v>
      </c>
    </row>
    <row r="172" spans="1:12">
      <c r="A172" s="2" t="s">
        <v>159</v>
      </c>
      <c r="B172" s="2" t="s">
        <v>21</v>
      </c>
      <c r="C172" s="2">
        <v>41.3</v>
      </c>
      <c r="D172" s="2">
        <v>80</v>
      </c>
      <c r="E172" s="2">
        <v>64.099999999999994</v>
      </c>
      <c r="F172" s="2">
        <v>68.5</v>
      </c>
      <c r="G172" s="2" t="s">
        <v>26</v>
      </c>
      <c r="H172" t="str">
        <f t="shared" si="10"/>
        <v>Public Health</v>
      </c>
      <c r="I172" t="str">
        <f t="shared" si="15"/>
        <v>Good Standing</v>
      </c>
      <c r="J172" t="str">
        <f t="shared" si="11"/>
        <v>Good Standing</v>
      </c>
      <c r="K172" t="str">
        <f t="shared" si="12"/>
        <v>Good Standing</v>
      </c>
      <c r="L172" t="str">
        <f t="shared" si="13"/>
        <v>Public Health</v>
      </c>
    </row>
    <row r="173" spans="1:12">
      <c r="A173" s="2" t="s">
        <v>184</v>
      </c>
      <c r="B173" s="2" t="s">
        <v>21</v>
      </c>
      <c r="C173" s="2">
        <v>90</v>
      </c>
      <c r="D173" s="2">
        <v>74.7</v>
      </c>
      <c r="E173" s="2">
        <v>64.099999999999994</v>
      </c>
      <c r="F173" s="2">
        <v>87.7</v>
      </c>
      <c r="G173" s="2" t="s">
        <v>22</v>
      </c>
      <c r="H173" t="str">
        <f t="shared" si="10"/>
        <v>Public Health</v>
      </c>
      <c r="I173" t="str">
        <f t="shared" si="15"/>
        <v>At Risk</v>
      </c>
      <c r="J173" t="str">
        <f t="shared" si="11"/>
        <v>At Risk</v>
      </c>
      <c r="K173" t="str">
        <f t="shared" si="12"/>
        <v>At Risk</v>
      </c>
      <c r="L173" t="str">
        <f t="shared" si="13"/>
        <v>Public Health</v>
      </c>
    </row>
    <row r="174" spans="1:12">
      <c r="A174" s="2" t="s">
        <v>29</v>
      </c>
      <c r="B174" s="2" t="s">
        <v>30</v>
      </c>
      <c r="C174" s="2">
        <v>87.6</v>
      </c>
      <c r="D174" s="2">
        <v>91.8</v>
      </c>
      <c r="E174" s="2">
        <v>64</v>
      </c>
      <c r="F174" s="2">
        <v>84.7</v>
      </c>
      <c r="G174" s="2" t="s">
        <v>91</v>
      </c>
      <c r="H174" t="str">
        <f t="shared" si="10"/>
        <v>Computer Science</v>
      </c>
      <c r="I174" t="str">
        <f t="shared" si="15"/>
        <v>Unknown</v>
      </c>
      <c r="J174" t="str">
        <f t="shared" si="11"/>
        <v>Unknown</v>
      </c>
      <c r="K174" t="str">
        <f t="shared" si="12"/>
        <v>Unknown</v>
      </c>
      <c r="L174" t="str">
        <f t="shared" si="13"/>
        <v>Computer Science</v>
      </c>
    </row>
    <row r="175" spans="1:12">
      <c r="A175" s="2" t="s">
        <v>292</v>
      </c>
      <c r="B175" s="2" t="s">
        <v>24</v>
      </c>
      <c r="C175" s="2">
        <v>74.3</v>
      </c>
      <c r="D175" s="2">
        <v>81.900000000000006</v>
      </c>
      <c r="E175" s="2">
        <v>63.7</v>
      </c>
      <c r="F175" s="2">
        <v>34.4</v>
      </c>
      <c r="G175" s="2" t="s">
        <v>22</v>
      </c>
      <c r="H175" t="str">
        <f t="shared" si="10"/>
        <v>Business Administration</v>
      </c>
      <c r="I175" t="str">
        <f t="shared" si="15"/>
        <v>At Risk</v>
      </c>
      <c r="J175" t="str">
        <f t="shared" si="11"/>
        <v>At Risk</v>
      </c>
      <c r="K175" t="str">
        <f t="shared" si="12"/>
        <v>At Risk</v>
      </c>
      <c r="L175" t="str">
        <f t="shared" si="13"/>
        <v>Business Administration</v>
      </c>
    </row>
    <row r="176" spans="1:12">
      <c r="A176" s="2" t="s">
        <v>300</v>
      </c>
      <c r="B176" s="2" t="s">
        <v>34</v>
      </c>
      <c r="C176" s="2">
        <v>82.6</v>
      </c>
      <c r="D176" s="2">
        <v>68</v>
      </c>
      <c r="E176" s="2">
        <v>63.6</v>
      </c>
      <c r="F176" s="2">
        <v>58.9</v>
      </c>
      <c r="G176" s="2" t="s">
        <v>26</v>
      </c>
      <c r="H176" t="str">
        <f t="shared" si="10"/>
        <v>Data Science</v>
      </c>
      <c r="I176" t="str">
        <f t="shared" si="15"/>
        <v>Good Standing</v>
      </c>
      <c r="J176" t="str">
        <f t="shared" si="11"/>
        <v>Good Standing</v>
      </c>
      <c r="K176" t="str">
        <f t="shared" si="12"/>
        <v>Good Standing</v>
      </c>
      <c r="L176" t="str">
        <f t="shared" si="13"/>
        <v>Data Science</v>
      </c>
    </row>
    <row r="177" spans="1:12">
      <c r="A177" s="2" t="s">
        <v>187</v>
      </c>
      <c r="B177" s="2" t="s">
        <v>30</v>
      </c>
      <c r="C177" s="2">
        <v>74</v>
      </c>
      <c r="D177" s="2">
        <v>60.3</v>
      </c>
      <c r="E177" s="2">
        <v>63.5</v>
      </c>
      <c r="F177" s="2">
        <v>71</v>
      </c>
      <c r="G177" s="2" t="s">
        <v>26</v>
      </c>
      <c r="H177" t="str">
        <f t="shared" si="10"/>
        <v>Computer Science</v>
      </c>
      <c r="I177" t="str">
        <f t="shared" si="15"/>
        <v>Good Standing</v>
      </c>
      <c r="J177" t="str">
        <f t="shared" si="11"/>
        <v>Good Standing</v>
      </c>
      <c r="K177" t="str">
        <f t="shared" si="12"/>
        <v>Good Standing</v>
      </c>
      <c r="L177" t="str">
        <f t="shared" si="13"/>
        <v>Computer Science</v>
      </c>
    </row>
    <row r="178" spans="1:12">
      <c r="A178" s="2" t="s">
        <v>242</v>
      </c>
      <c r="B178" s="2" t="s">
        <v>91</v>
      </c>
      <c r="C178" s="2">
        <v>100</v>
      </c>
      <c r="D178" s="2">
        <v>77.099999999999994</v>
      </c>
      <c r="E178" s="2">
        <v>63.3</v>
      </c>
      <c r="F178" s="2">
        <v>79</v>
      </c>
      <c r="G178" s="2" t="s">
        <v>26</v>
      </c>
      <c r="H178" t="str">
        <f t="shared" si="10"/>
        <v>Unknown</v>
      </c>
      <c r="I178" t="str">
        <f t="shared" si="15"/>
        <v>Good Standing</v>
      </c>
      <c r="J178" t="str">
        <f t="shared" si="11"/>
        <v>Good Standing</v>
      </c>
      <c r="K178" t="str">
        <f t="shared" si="12"/>
        <v>Good Standing</v>
      </c>
      <c r="L178" t="str">
        <f t="shared" si="13"/>
        <v>Unknown</v>
      </c>
    </row>
    <row r="179" spans="1:12">
      <c r="A179" s="2" t="s">
        <v>124</v>
      </c>
      <c r="B179" s="2" t="s">
        <v>34</v>
      </c>
      <c r="C179" s="2">
        <v>88.4</v>
      </c>
      <c r="D179" s="2">
        <v>41</v>
      </c>
      <c r="E179" s="2">
        <v>63</v>
      </c>
      <c r="F179" s="2">
        <v>60.2</v>
      </c>
      <c r="G179" s="2" t="s">
        <v>26</v>
      </c>
      <c r="H179" t="str">
        <f t="shared" si="10"/>
        <v>Data Science</v>
      </c>
      <c r="I179" t="str">
        <f t="shared" si="15"/>
        <v>Good Standing</v>
      </c>
      <c r="J179" t="str">
        <f t="shared" si="11"/>
        <v>Good Standing</v>
      </c>
      <c r="K179" t="str">
        <f t="shared" si="12"/>
        <v>Good Standing</v>
      </c>
      <c r="L179" t="str">
        <f t="shared" si="13"/>
        <v>Data Science</v>
      </c>
    </row>
    <row r="180" spans="1:12">
      <c r="A180" s="2" t="s">
        <v>247</v>
      </c>
      <c r="B180" s="2" t="s">
        <v>24</v>
      </c>
      <c r="C180" s="2">
        <v>99.5</v>
      </c>
      <c r="D180" s="2">
        <v>92.7</v>
      </c>
      <c r="E180" s="2">
        <v>62.7</v>
      </c>
      <c r="F180" s="2">
        <v>81.400000000000006</v>
      </c>
      <c r="G180" s="2" t="s">
        <v>26</v>
      </c>
      <c r="H180" t="str">
        <f t="shared" si="10"/>
        <v>Business Administration</v>
      </c>
      <c r="I180" t="str">
        <f t="shared" si="15"/>
        <v>Good Standing</v>
      </c>
      <c r="J180" t="str">
        <f t="shared" si="11"/>
        <v>Good Standing</v>
      </c>
      <c r="K180" t="str">
        <f t="shared" si="12"/>
        <v>Good Standing</v>
      </c>
      <c r="L180" t="str">
        <f t="shared" si="13"/>
        <v>Business Administration</v>
      </c>
    </row>
    <row r="181" spans="1:12">
      <c r="A181" s="2" t="s">
        <v>110</v>
      </c>
      <c r="B181" s="2" t="s">
        <v>28</v>
      </c>
      <c r="C181" s="2">
        <v>88</v>
      </c>
      <c r="D181" s="2">
        <v>94.1</v>
      </c>
      <c r="E181" s="2">
        <v>62.6</v>
      </c>
      <c r="F181" s="2">
        <v>46.8</v>
      </c>
      <c r="G181" s="2" t="s">
        <v>26</v>
      </c>
      <c r="H181" t="str">
        <f t="shared" si="10"/>
        <v>Engineering</v>
      </c>
      <c r="I181" t="str">
        <f t="shared" si="15"/>
        <v>Good Standing</v>
      </c>
      <c r="J181" t="str">
        <f t="shared" si="11"/>
        <v>Good Standing</v>
      </c>
      <c r="K181" t="str">
        <f t="shared" si="12"/>
        <v>Good Standing</v>
      </c>
      <c r="L181" t="str">
        <f t="shared" si="13"/>
        <v>Engineering</v>
      </c>
    </row>
    <row r="182" spans="1:12">
      <c r="A182" s="2" t="s">
        <v>263</v>
      </c>
      <c r="B182" s="2" t="s">
        <v>34</v>
      </c>
      <c r="C182" s="2">
        <v>69.599999999999994</v>
      </c>
      <c r="D182" s="2">
        <v>69.099999999999994</v>
      </c>
      <c r="E182" s="2">
        <v>62.5</v>
      </c>
      <c r="F182" s="2">
        <v>76.099999999999994</v>
      </c>
      <c r="G182" s="2" t="s">
        <v>22</v>
      </c>
      <c r="H182" t="str">
        <f t="shared" si="10"/>
        <v>Data Science</v>
      </c>
      <c r="I182" t="str">
        <f t="shared" si="15"/>
        <v>At Risk</v>
      </c>
      <c r="J182" t="str">
        <f t="shared" si="11"/>
        <v>At Risk</v>
      </c>
      <c r="K182" t="str">
        <f t="shared" si="12"/>
        <v>At Risk</v>
      </c>
      <c r="L182" t="str">
        <f t="shared" si="13"/>
        <v>Data Science</v>
      </c>
    </row>
    <row r="183" spans="1:12">
      <c r="A183" s="2" t="s">
        <v>127</v>
      </c>
      <c r="B183" s="2" t="s">
        <v>24</v>
      </c>
      <c r="C183" s="2">
        <v>70.900000000000006</v>
      </c>
      <c r="D183" s="2">
        <v>76.099999999999994</v>
      </c>
      <c r="E183" s="2">
        <v>62.4</v>
      </c>
      <c r="F183" s="2">
        <v>92.1</v>
      </c>
      <c r="G183" s="2" t="s">
        <v>26</v>
      </c>
      <c r="H183" t="str">
        <f t="shared" si="10"/>
        <v>Business Administration</v>
      </c>
      <c r="I183" t="str">
        <f t="shared" si="15"/>
        <v>Good Standing</v>
      </c>
      <c r="J183" t="str">
        <f t="shared" si="11"/>
        <v>Good Standing</v>
      </c>
      <c r="K183" t="str">
        <f t="shared" si="12"/>
        <v>Good Standing</v>
      </c>
      <c r="L183" t="str">
        <f t="shared" si="13"/>
        <v>Business Administration</v>
      </c>
    </row>
    <row r="184" spans="1:12">
      <c r="A184" s="2" t="s">
        <v>165</v>
      </c>
      <c r="B184" s="2" t="s">
        <v>91</v>
      </c>
      <c r="C184" s="2">
        <v>92.2</v>
      </c>
      <c r="D184" s="2">
        <v>79.7</v>
      </c>
      <c r="E184" s="2">
        <v>62</v>
      </c>
      <c r="F184" s="2">
        <v>60.3</v>
      </c>
      <c r="G184" s="2" t="s">
        <v>26</v>
      </c>
      <c r="H184" t="str">
        <f t="shared" si="10"/>
        <v>Unknown</v>
      </c>
      <c r="I184" t="str">
        <f t="shared" si="15"/>
        <v>Good Standing</v>
      </c>
      <c r="J184" t="str">
        <f t="shared" si="11"/>
        <v>Good Standing</v>
      </c>
      <c r="K184" t="str">
        <f t="shared" si="12"/>
        <v>Good Standing</v>
      </c>
      <c r="L184" t="str">
        <f t="shared" si="13"/>
        <v>Unknown</v>
      </c>
    </row>
    <row r="185" spans="1:12">
      <c r="A185" s="2" t="s">
        <v>249</v>
      </c>
      <c r="B185" s="2" t="s">
        <v>30</v>
      </c>
      <c r="C185" s="2">
        <v>77.7</v>
      </c>
      <c r="D185" s="2">
        <v>69.8</v>
      </c>
      <c r="E185" s="2">
        <v>61.9</v>
      </c>
      <c r="F185" s="2">
        <v>70.7</v>
      </c>
      <c r="G185" s="2" t="s">
        <v>91</v>
      </c>
      <c r="H185" t="str">
        <f t="shared" si="10"/>
        <v>Computer Science</v>
      </c>
      <c r="I185" t="str">
        <f t="shared" si="15"/>
        <v>Unknown</v>
      </c>
      <c r="J185" t="str">
        <f t="shared" si="11"/>
        <v>Unknown</v>
      </c>
      <c r="K185" t="str">
        <f t="shared" si="12"/>
        <v>Unknown</v>
      </c>
      <c r="L185" t="str">
        <f t="shared" si="13"/>
        <v>Computer Science</v>
      </c>
    </row>
    <row r="186" spans="1:12">
      <c r="A186" s="2" t="s">
        <v>228</v>
      </c>
      <c r="B186" s="2" t="s">
        <v>21</v>
      </c>
      <c r="C186" s="2">
        <v>93.7</v>
      </c>
      <c r="D186" s="2">
        <v>74.099999999999994</v>
      </c>
      <c r="E186" s="2">
        <v>61.7</v>
      </c>
      <c r="F186" s="2">
        <v>65</v>
      </c>
      <c r="G186" s="2" t="s">
        <v>26</v>
      </c>
      <c r="H186" t="str">
        <f t="shared" si="10"/>
        <v>Public Health</v>
      </c>
      <c r="I186" t="str">
        <f t="shared" si="15"/>
        <v>Good Standing</v>
      </c>
      <c r="J186" t="str">
        <f t="shared" si="11"/>
        <v>Good Standing</v>
      </c>
      <c r="K186" t="str">
        <f t="shared" si="12"/>
        <v>Good Standing</v>
      </c>
      <c r="L186" t="str">
        <f t="shared" si="13"/>
        <v>Public Health</v>
      </c>
    </row>
    <row r="187" spans="1:12">
      <c r="A187" s="2" t="s">
        <v>298</v>
      </c>
      <c r="B187" s="2" t="s">
        <v>21</v>
      </c>
      <c r="C187" s="2">
        <v>69.900000000000006</v>
      </c>
      <c r="D187" s="2">
        <v>80.599999999999994</v>
      </c>
      <c r="E187" s="2">
        <v>61.3</v>
      </c>
      <c r="F187" s="2">
        <v>97.7</v>
      </c>
      <c r="G187" s="2" t="s">
        <v>26</v>
      </c>
      <c r="H187" t="str">
        <f t="shared" si="10"/>
        <v>Public Health</v>
      </c>
      <c r="I187" t="str">
        <f t="shared" si="15"/>
        <v>Good Standing</v>
      </c>
      <c r="J187" t="str">
        <f t="shared" si="11"/>
        <v>Good Standing</v>
      </c>
      <c r="K187" t="str">
        <f t="shared" si="12"/>
        <v>Good Standing</v>
      </c>
      <c r="L187" t="str">
        <f t="shared" si="13"/>
        <v>Public Health</v>
      </c>
    </row>
    <row r="188" spans="1:12">
      <c r="A188" s="2" t="s">
        <v>96</v>
      </c>
      <c r="B188" s="2" t="s">
        <v>28</v>
      </c>
      <c r="C188" s="2">
        <v>80.7</v>
      </c>
      <c r="D188" s="2">
        <v>99.4</v>
      </c>
      <c r="E188" s="2">
        <v>61.2</v>
      </c>
      <c r="F188" s="2">
        <v>58.2</v>
      </c>
      <c r="G188" s="2" t="s">
        <v>26</v>
      </c>
      <c r="H188" t="str">
        <f t="shared" si="10"/>
        <v>Engineering</v>
      </c>
      <c r="I188" t="str">
        <f t="shared" si="15"/>
        <v>Good Standing</v>
      </c>
      <c r="J188" t="str">
        <f t="shared" si="11"/>
        <v>Good Standing</v>
      </c>
      <c r="K188" t="str">
        <f t="shared" si="12"/>
        <v>Good Standing</v>
      </c>
      <c r="L188" t="str">
        <f t="shared" si="13"/>
        <v>Engineering</v>
      </c>
    </row>
    <row r="189" spans="1:12">
      <c r="A189" s="2" t="s">
        <v>278</v>
      </c>
      <c r="B189" s="2" t="s">
        <v>28</v>
      </c>
      <c r="C189" s="2">
        <v>58.7</v>
      </c>
      <c r="D189" s="2">
        <v>60.2</v>
      </c>
      <c r="E189" s="2">
        <v>61.2</v>
      </c>
      <c r="F189" s="2">
        <v>46.5</v>
      </c>
      <c r="G189" s="2" t="s">
        <v>26</v>
      </c>
      <c r="H189" t="str">
        <f t="shared" si="10"/>
        <v>Engineering</v>
      </c>
      <c r="I189" t="str">
        <f t="shared" si="15"/>
        <v>Good Standing</v>
      </c>
      <c r="J189" t="str">
        <f t="shared" si="11"/>
        <v>Good Standing</v>
      </c>
      <c r="K189" t="str">
        <f t="shared" si="12"/>
        <v>Good Standing</v>
      </c>
      <c r="L189" t="str">
        <f t="shared" si="13"/>
        <v>Engineering</v>
      </c>
    </row>
    <row r="190" spans="1:12">
      <c r="A190" s="2" t="s">
        <v>98</v>
      </c>
      <c r="B190" s="2" t="s">
        <v>28</v>
      </c>
      <c r="C190" s="2">
        <v>63.9</v>
      </c>
      <c r="D190" s="2">
        <v>100</v>
      </c>
      <c r="E190" s="2">
        <v>61.1</v>
      </c>
      <c r="F190" s="2">
        <v>65.599999999999994</v>
      </c>
      <c r="G190" s="2" t="s">
        <v>26</v>
      </c>
      <c r="H190" t="str">
        <f t="shared" si="10"/>
        <v>Engineering</v>
      </c>
      <c r="I190" t="str">
        <f t="shared" si="15"/>
        <v>Good Standing</v>
      </c>
      <c r="J190" t="str">
        <f t="shared" si="11"/>
        <v>Good Standing</v>
      </c>
      <c r="K190" t="str">
        <f t="shared" si="12"/>
        <v>Good Standing</v>
      </c>
      <c r="L190" t="str">
        <f t="shared" si="13"/>
        <v>Engineering</v>
      </c>
    </row>
    <row r="191" spans="1:12">
      <c r="A191" s="2" t="s">
        <v>81</v>
      </c>
      <c r="B191" s="2" t="s">
        <v>34</v>
      </c>
      <c r="C191" s="2">
        <v>94.1</v>
      </c>
      <c r="D191" s="2">
        <v>86.7</v>
      </c>
      <c r="E191" s="2">
        <v>61</v>
      </c>
      <c r="F191" s="2">
        <v>38.700000000000003</v>
      </c>
      <c r="G191" s="2" t="s">
        <v>26</v>
      </c>
      <c r="H191" t="str">
        <f t="shared" si="10"/>
        <v>Data Science</v>
      </c>
      <c r="I191" t="str">
        <f t="shared" si="15"/>
        <v>Good Standing</v>
      </c>
      <c r="J191" t="str">
        <f t="shared" si="11"/>
        <v>Good Standing</v>
      </c>
      <c r="K191" t="str">
        <f t="shared" si="12"/>
        <v>Good Standing</v>
      </c>
      <c r="L191" t="str">
        <f t="shared" si="13"/>
        <v>Data Science</v>
      </c>
    </row>
    <row r="192" spans="1:12">
      <c r="A192" s="2" t="s">
        <v>253</v>
      </c>
      <c r="B192" s="2" t="s">
        <v>91</v>
      </c>
      <c r="C192" s="2">
        <v>82.5</v>
      </c>
      <c r="D192" s="2">
        <v>69.099999999999994</v>
      </c>
      <c r="E192" s="2">
        <v>61</v>
      </c>
      <c r="F192" s="2">
        <v>55.4</v>
      </c>
      <c r="G192" s="2" t="s">
        <v>26</v>
      </c>
      <c r="H192" t="str">
        <f t="shared" si="10"/>
        <v>Unknown</v>
      </c>
      <c r="I192" t="str">
        <f t="shared" si="15"/>
        <v>Good Standing</v>
      </c>
      <c r="J192" t="str">
        <f t="shared" si="11"/>
        <v>Good Standing</v>
      </c>
      <c r="K192" t="str">
        <f t="shared" si="12"/>
        <v>Good Standing</v>
      </c>
      <c r="L192" t="str">
        <f t="shared" si="13"/>
        <v>Unknown</v>
      </c>
    </row>
    <row r="193" spans="1:12">
      <c r="A193" s="2" t="s">
        <v>235</v>
      </c>
      <c r="B193" s="2" t="s">
        <v>21</v>
      </c>
      <c r="C193" s="2">
        <v>86.6</v>
      </c>
      <c r="D193" s="2">
        <v>59.5</v>
      </c>
      <c r="E193" s="2">
        <v>60.9</v>
      </c>
      <c r="F193" s="2">
        <v>49.8</v>
      </c>
      <c r="G193" s="2" t="s">
        <v>26</v>
      </c>
      <c r="H193" t="str">
        <f t="shared" si="10"/>
        <v>Public Health</v>
      </c>
      <c r="I193" t="str">
        <f t="shared" si="15"/>
        <v>Good Standing</v>
      </c>
      <c r="J193" t="str">
        <f t="shared" si="11"/>
        <v>Good Standing</v>
      </c>
      <c r="K193" t="str">
        <f t="shared" si="12"/>
        <v>Good Standing</v>
      </c>
      <c r="L193" t="str">
        <f t="shared" si="13"/>
        <v>Public Health</v>
      </c>
    </row>
    <row r="194" spans="1:12">
      <c r="A194" s="2" t="s">
        <v>89</v>
      </c>
      <c r="B194" s="2" t="s">
        <v>21</v>
      </c>
      <c r="C194" s="2">
        <v>82.7</v>
      </c>
      <c r="D194" s="2">
        <v>63.9</v>
      </c>
      <c r="E194" s="2">
        <v>60.4</v>
      </c>
      <c r="F194" s="2">
        <v>87.6</v>
      </c>
      <c r="G194" s="2" t="s">
        <v>26</v>
      </c>
      <c r="H194" t="str">
        <f t="shared" ref="H194:H257" si="16">IF(OR(TRIM(B194)="",TRIM(B194)="-",TRIM(B194)="Unknown"),"Unknown",IF(UPPER(TRIM(B194))="CS","Computer Science",IF(UPPER(TRIM(B194))="PH","Public Health",PROPER(TRIM(B194)))))</f>
        <v>Public Health</v>
      </c>
      <c r="I194" t="str">
        <f t="shared" si="15"/>
        <v>Good Standing</v>
      </c>
      <c r="J194" t="str">
        <f t="shared" ref="J194:J257" si="17">TRIM(G194)</f>
        <v>Good Standing</v>
      </c>
      <c r="K194" t="str">
        <f t="shared" ref="K194:K257" si="18">TRIM(CLEAN(SUBSTITUTE(G194,CHAR(160)," ")))</f>
        <v>Good Standing</v>
      </c>
      <c r="L194" t="str">
        <f t="shared" ref="L194:L257" si="19">TRIM(CLEAN(SUBSTITUTE(B194,CHAR(160)," ")))</f>
        <v>Public Health</v>
      </c>
    </row>
    <row r="195" spans="1:12">
      <c r="A195" s="2" t="s">
        <v>199</v>
      </c>
      <c r="B195" s="2" t="s">
        <v>30</v>
      </c>
      <c r="C195" s="2">
        <v>57.2</v>
      </c>
      <c r="D195" s="2">
        <v>69.8</v>
      </c>
      <c r="E195" s="2">
        <v>60.4</v>
      </c>
      <c r="F195" s="2">
        <v>93</v>
      </c>
      <c r="G195" s="2" t="s">
        <v>26</v>
      </c>
      <c r="H195" t="str">
        <f t="shared" si="16"/>
        <v>Computer Science</v>
      </c>
      <c r="I195" t="str">
        <f t="shared" si="15"/>
        <v>Good Standing</v>
      </c>
      <c r="J195" t="str">
        <f t="shared" si="17"/>
        <v>Good Standing</v>
      </c>
      <c r="K195" t="str">
        <f t="shared" si="18"/>
        <v>Good Standing</v>
      </c>
      <c r="L195" t="str">
        <f t="shared" si="19"/>
        <v>Computer Science</v>
      </c>
    </row>
    <row r="196" spans="1:12">
      <c r="A196" s="2" t="s">
        <v>291</v>
      </c>
      <c r="B196" s="2" t="s">
        <v>21</v>
      </c>
      <c r="C196" s="2">
        <v>81.599999999999994</v>
      </c>
      <c r="D196" s="2">
        <v>52.8</v>
      </c>
      <c r="E196" s="2">
        <v>60.2</v>
      </c>
      <c r="F196" s="2">
        <v>93</v>
      </c>
      <c r="G196" s="2" t="s">
        <v>91</v>
      </c>
      <c r="H196" t="str">
        <f t="shared" si="16"/>
        <v>Public Health</v>
      </c>
      <c r="I196" t="str">
        <f t="shared" si="15"/>
        <v>Unknown</v>
      </c>
      <c r="J196" t="str">
        <f t="shared" si="17"/>
        <v>Unknown</v>
      </c>
      <c r="K196" t="str">
        <f t="shared" si="18"/>
        <v>Unknown</v>
      </c>
      <c r="L196" t="str">
        <f t="shared" si="19"/>
        <v>Public Health</v>
      </c>
    </row>
    <row r="197" spans="1:12">
      <c r="A197" s="2" t="s">
        <v>73</v>
      </c>
      <c r="B197" s="2" t="s">
        <v>91</v>
      </c>
      <c r="C197" s="2">
        <v>100</v>
      </c>
      <c r="D197" s="2">
        <v>50.8</v>
      </c>
      <c r="E197" s="2">
        <v>59.7</v>
      </c>
      <c r="F197" s="2">
        <v>78.599999999999994</v>
      </c>
      <c r="G197" s="2" t="s">
        <v>26</v>
      </c>
      <c r="H197" t="str">
        <f t="shared" si="16"/>
        <v>Unknown</v>
      </c>
      <c r="I197" t="str">
        <f t="shared" si="15"/>
        <v>Good Standing</v>
      </c>
      <c r="J197" t="str">
        <f t="shared" si="17"/>
        <v>Good Standing</v>
      </c>
      <c r="K197" t="str">
        <f t="shared" si="18"/>
        <v>Good Standing</v>
      </c>
      <c r="L197" t="str">
        <f t="shared" si="19"/>
        <v>Unknown</v>
      </c>
    </row>
    <row r="198" spans="1:12">
      <c r="A198" s="2" t="s">
        <v>141</v>
      </c>
      <c r="B198" s="2" t="s">
        <v>28</v>
      </c>
      <c r="C198" s="2">
        <v>98.3</v>
      </c>
      <c r="D198" s="2">
        <v>92.3</v>
      </c>
      <c r="E198" s="2">
        <v>59.5</v>
      </c>
      <c r="F198" s="2">
        <v>69.8</v>
      </c>
      <c r="G198" s="2" t="s">
        <v>22</v>
      </c>
      <c r="H198" t="str">
        <f t="shared" si="16"/>
        <v>Engineering</v>
      </c>
      <c r="I198" t="str">
        <f t="shared" ref="I198:I261" si="20">IF(OR(TRIM(G67)="",TRIM(G67)="-",UPPER(TRIM(G67))="UNKNOWN"),"Unknown",IF(OR(UPPER(TRIM(G67))="AR",UPPER(TRIM(G67))="AT RISK"),"At Risk",IF(UPPER(TRIM(G67))="GOOD STANDING","Good Standing","Unknown")))</f>
        <v>At Risk</v>
      </c>
      <c r="J198" t="str">
        <f t="shared" si="17"/>
        <v>At Risk</v>
      </c>
      <c r="K198" t="str">
        <f t="shared" si="18"/>
        <v>At Risk</v>
      </c>
      <c r="L198" t="str">
        <f t="shared" si="19"/>
        <v>Engineering</v>
      </c>
    </row>
    <row r="199" spans="1:12">
      <c r="A199" s="2" t="s">
        <v>65</v>
      </c>
      <c r="B199" s="2" t="s">
        <v>46</v>
      </c>
      <c r="C199" s="2">
        <v>68.900000000000006</v>
      </c>
      <c r="D199" s="2">
        <v>86</v>
      </c>
      <c r="E199" s="2">
        <v>59.3</v>
      </c>
      <c r="F199" s="2">
        <v>52.2</v>
      </c>
      <c r="G199" s="2" t="s">
        <v>26</v>
      </c>
      <c r="H199" t="str">
        <f t="shared" si="16"/>
        <v>Economics</v>
      </c>
      <c r="I199" t="str">
        <f t="shared" si="20"/>
        <v>Good Standing</v>
      </c>
      <c r="J199" t="str">
        <f t="shared" si="17"/>
        <v>Good Standing</v>
      </c>
      <c r="K199" t="str">
        <f t="shared" si="18"/>
        <v>Good Standing</v>
      </c>
      <c r="L199" t="str">
        <f t="shared" si="19"/>
        <v>Economics</v>
      </c>
    </row>
    <row r="200" spans="1:12">
      <c r="A200" s="2" t="s">
        <v>166</v>
      </c>
      <c r="B200" s="2" t="s">
        <v>28</v>
      </c>
      <c r="C200" s="2">
        <v>86</v>
      </c>
      <c r="D200" s="2">
        <v>57.7</v>
      </c>
      <c r="E200" s="2">
        <v>59.3</v>
      </c>
      <c r="F200" s="2">
        <v>87.8</v>
      </c>
      <c r="G200" s="2" t="s">
        <v>26</v>
      </c>
      <c r="H200" t="str">
        <f t="shared" si="16"/>
        <v>Engineering</v>
      </c>
      <c r="I200" t="str">
        <f t="shared" si="20"/>
        <v>Good Standing</v>
      </c>
      <c r="J200" t="str">
        <f t="shared" si="17"/>
        <v>Good Standing</v>
      </c>
      <c r="K200" t="str">
        <f t="shared" si="18"/>
        <v>Good Standing</v>
      </c>
      <c r="L200" t="str">
        <f t="shared" si="19"/>
        <v>Engineering</v>
      </c>
    </row>
    <row r="201" spans="1:12">
      <c r="A201" s="2" t="s">
        <v>118</v>
      </c>
      <c r="B201" s="2" t="s">
        <v>24</v>
      </c>
      <c r="C201" s="2">
        <v>65.400000000000006</v>
      </c>
      <c r="D201" s="2">
        <v>51.2</v>
      </c>
      <c r="E201" s="2">
        <v>59.2</v>
      </c>
      <c r="F201" s="2">
        <v>76.599999999999994</v>
      </c>
      <c r="G201" s="2" t="s">
        <v>26</v>
      </c>
      <c r="H201" t="str">
        <f t="shared" si="16"/>
        <v>Business Administration</v>
      </c>
      <c r="I201" t="str">
        <f t="shared" si="20"/>
        <v>Good Standing</v>
      </c>
      <c r="J201" t="str">
        <f t="shared" si="17"/>
        <v>Good Standing</v>
      </c>
      <c r="K201" t="str">
        <f t="shared" si="18"/>
        <v>Good Standing</v>
      </c>
      <c r="L201" t="str">
        <f t="shared" si="19"/>
        <v>Business Administration</v>
      </c>
    </row>
    <row r="202" spans="1:12">
      <c r="A202" s="2" t="s">
        <v>267</v>
      </c>
      <c r="B202" s="2" t="s">
        <v>24</v>
      </c>
      <c r="C202" s="2">
        <v>77.8</v>
      </c>
      <c r="D202" s="2">
        <v>69.8</v>
      </c>
      <c r="E202" s="2">
        <v>59.2</v>
      </c>
      <c r="F202" s="2">
        <v>83.6</v>
      </c>
      <c r="G202" s="2" t="s">
        <v>26</v>
      </c>
      <c r="H202" t="str">
        <f t="shared" si="16"/>
        <v>Business Administration</v>
      </c>
      <c r="I202" t="str">
        <f t="shared" si="20"/>
        <v>Good Standing</v>
      </c>
      <c r="J202" t="str">
        <f t="shared" si="17"/>
        <v>Good Standing</v>
      </c>
      <c r="K202" t="str">
        <f t="shared" si="18"/>
        <v>Good Standing</v>
      </c>
      <c r="L202" t="str">
        <f t="shared" si="19"/>
        <v>Business Administration</v>
      </c>
    </row>
    <row r="203" spans="1:12">
      <c r="A203" s="2" t="s">
        <v>209</v>
      </c>
      <c r="B203" s="2" t="s">
        <v>21</v>
      </c>
      <c r="C203" s="2">
        <v>55.2</v>
      </c>
      <c r="D203" s="2">
        <v>37.799999999999997</v>
      </c>
      <c r="E203" s="2">
        <v>59.1</v>
      </c>
      <c r="F203" s="2">
        <v>71.2</v>
      </c>
      <c r="G203" s="2" t="s">
        <v>22</v>
      </c>
      <c r="H203" t="str">
        <f t="shared" si="16"/>
        <v>Public Health</v>
      </c>
      <c r="I203" t="str">
        <f t="shared" si="20"/>
        <v>At Risk</v>
      </c>
      <c r="J203" t="str">
        <f t="shared" si="17"/>
        <v>At Risk</v>
      </c>
      <c r="K203" t="str">
        <f t="shared" si="18"/>
        <v>At Risk</v>
      </c>
      <c r="L203" t="str">
        <f t="shared" si="19"/>
        <v>Public Health</v>
      </c>
    </row>
    <row r="204" spans="1:12">
      <c r="A204" s="2" t="s">
        <v>78</v>
      </c>
      <c r="B204" s="2" t="s">
        <v>91</v>
      </c>
      <c r="C204" s="2">
        <v>86.4</v>
      </c>
      <c r="D204" s="2">
        <v>86.8</v>
      </c>
      <c r="E204" s="2">
        <v>58.9</v>
      </c>
      <c r="F204" s="2">
        <v>56.6</v>
      </c>
      <c r="G204" s="2" t="s">
        <v>26</v>
      </c>
      <c r="H204" t="str">
        <f t="shared" si="16"/>
        <v>Unknown</v>
      </c>
      <c r="I204" t="str">
        <f t="shared" si="20"/>
        <v>Good Standing</v>
      </c>
      <c r="J204" t="str">
        <f t="shared" si="17"/>
        <v>Good Standing</v>
      </c>
      <c r="K204" t="str">
        <f t="shared" si="18"/>
        <v>Good Standing</v>
      </c>
      <c r="L204" t="str">
        <f t="shared" si="19"/>
        <v>Unknown</v>
      </c>
    </row>
    <row r="205" spans="1:12">
      <c r="A205" s="2" t="s">
        <v>183</v>
      </c>
      <c r="B205" s="2" t="s">
        <v>28</v>
      </c>
      <c r="C205" s="2">
        <v>73.400000000000006</v>
      </c>
      <c r="D205" s="2">
        <v>23.5</v>
      </c>
      <c r="E205" s="2">
        <v>58.7</v>
      </c>
      <c r="F205" s="2">
        <v>80.8</v>
      </c>
      <c r="G205" s="2" t="s">
        <v>22</v>
      </c>
      <c r="H205" t="str">
        <f t="shared" si="16"/>
        <v>Engineering</v>
      </c>
      <c r="I205" t="str">
        <f t="shared" si="20"/>
        <v>At Risk</v>
      </c>
      <c r="J205" t="str">
        <f t="shared" si="17"/>
        <v>At Risk</v>
      </c>
      <c r="K205" t="str">
        <f t="shared" si="18"/>
        <v>At Risk</v>
      </c>
      <c r="L205" t="str">
        <f t="shared" si="19"/>
        <v>Engineering</v>
      </c>
    </row>
    <row r="206" spans="1:12">
      <c r="A206" s="2" t="s">
        <v>42</v>
      </c>
      <c r="B206" s="2" t="s">
        <v>30</v>
      </c>
      <c r="C206" s="2">
        <v>58.7</v>
      </c>
      <c r="D206" s="2">
        <v>88.4</v>
      </c>
      <c r="E206" s="2">
        <v>58.4</v>
      </c>
      <c r="F206" s="2">
        <v>85.8</v>
      </c>
      <c r="G206" s="2" t="s">
        <v>26</v>
      </c>
      <c r="H206" t="str">
        <f t="shared" si="16"/>
        <v>Computer Science</v>
      </c>
      <c r="I206" t="str">
        <f t="shared" si="20"/>
        <v>Good Standing</v>
      </c>
      <c r="J206" t="str">
        <f t="shared" si="17"/>
        <v>Good Standing</v>
      </c>
      <c r="K206" t="str">
        <f t="shared" si="18"/>
        <v>Good Standing</v>
      </c>
      <c r="L206" t="str">
        <f t="shared" si="19"/>
        <v>Computer Science</v>
      </c>
    </row>
    <row r="207" spans="1:12">
      <c r="A207" s="2" t="s">
        <v>42</v>
      </c>
      <c r="B207" s="2" t="s">
        <v>91</v>
      </c>
      <c r="C207" s="2">
        <v>85.8</v>
      </c>
      <c r="D207" s="2">
        <v>88.4</v>
      </c>
      <c r="E207" s="2">
        <v>58.4</v>
      </c>
      <c r="F207" s="2">
        <v>85.8</v>
      </c>
      <c r="G207" s="2" t="s">
        <v>26</v>
      </c>
      <c r="H207" t="str">
        <f t="shared" si="16"/>
        <v>Unknown</v>
      </c>
      <c r="I207" t="str">
        <f t="shared" si="20"/>
        <v>Good Standing</v>
      </c>
      <c r="J207" t="str">
        <f t="shared" si="17"/>
        <v>Good Standing</v>
      </c>
      <c r="K207" t="str">
        <f t="shared" si="18"/>
        <v>Good Standing</v>
      </c>
      <c r="L207" t="str">
        <f t="shared" si="19"/>
        <v>Unknown</v>
      </c>
    </row>
    <row r="208" spans="1:12">
      <c r="A208" s="2" t="s">
        <v>145</v>
      </c>
      <c r="B208" s="2" t="s">
        <v>30</v>
      </c>
      <c r="C208" s="2">
        <v>88.9</v>
      </c>
      <c r="D208" s="2">
        <v>68.900000000000006</v>
      </c>
      <c r="E208" s="2">
        <v>58.3</v>
      </c>
      <c r="F208" s="2">
        <v>74.400000000000006</v>
      </c>
      <c r="G208" s="2" t="s">
        <v>22</v>
      </c>
      <c r="H208" t="str">
        <f t="shared" si="16"/>
        <v>Computer Science</v>
      </c>
      <c r="I208" t="str">
        <f t="shared" si="20"/>
        <v>At Risk</v>
      </c>
      <c r="J208" t="str">
        <f t="shared" si="17"/>
        <v>At Risk</v>
      </c>
      <c r="K208" t="str">
        <f t="shared" si="18"/>
        <v>At Risk</v>
      </c>
      <c r="L208" t="str">
        <f t="shared" si="19"/>
        <v>Computer Science</v>
      </c>
    </row>
    <row r="209" spans="1:14">
      <c r="A209" s="2" t="s">
        <v>245</v>
      </c>
      <c r="B209" s="2" t="s">
        <v>34</v>
      </c>
      <c r="C209" s="2">
        <v>69.400000000000006</v>
      </c>
      <c r="D209" s="2">
        <v>95.1</v>
      </c>
      <c r="E209" s="2">
        <v>58.3</v>
      </c>
      <c r="F209" s="2">
        <v>88.9</v>
      </c>
      <c r="G209" s="2" t="s">
        <v>91</v>
      </c>
      <c r="H209" t="str">
        <f t="shared" si="16"/>
        <v>Data Science</v>
      </c>
      <c r="I209" t="str">
        <f t="shared" si="20"/>
        <v>Unknown</v>
      </c>
      <c r="J209" t="str">
        <f t="shared" si="17"/>
        <v>Unknown</v>
      </c>
      <c r="K209" t="str">
        <f t="shared" si="18"/>
        <v>Unknown</v>
      </c>
      <c r="L209" t="str">
        <f t="shared" si="19"/>
        <v>Data Science</v>
      </c>
    </row>
    <row r="210" spans="1:14">
      <c r="A210" s="2" t="s">
        <v>114</v>
      </c>
      <c r="B210" s="2" t="s">
        <v>46</v>
      </c>
      <c r="C210" s="2">
        <v>58.7</v>
      </c>
      <c r="D210" s="2">
        <v>67.3</v>
      </c>
      <c r="E210" s="2">
        <v>58.2</v>
      </c>
      <c r="F210" s="2">
        <v>33.700000000000003</v>
      </c>
      <c r="G210" s="2" t="s">
        <v>26</v>
      </c>
      <c r="H210" t="str">
        <f t="shared" si="16"/>
        <v>Economics</v>
      </c>
      <c r="I210" t="str">
        <f t="shared" si="20"/>
        <v>Good Standing</v>
      </c>
      <c r="J210" t="str">
        <f t="shared" si="17"/>
        <v>Good Standing</v>
      </c>
      <c r="K210" t="str">
        <f t="shared" si="18"/>
        <v>Good Standing</v>
      </c>
      <c r="L210" t="str">
        <f t="shared" si="19"/>
        <v>Economics</v>
      </c>
    </row>
    <row r="211" spans="1:14">
      <c r="A211" s="2" t="s">
        <v>149</v>
      </c>
      <c r="B211" s="2" t="s">
        <v>24</v>
      </c>
      <c r="C211" s="2">
        <v>91.7</v>
      </c>
      <c r="D211" s="2">
        <v>63.1</v>
      </c>
      <c r="E211" s="2">
        <v>58.1</v>
      </c>
      <c r="F211" s="2">
        <v>87.1</v>
      </c>
      <c r="G211" s="2" t="s">
        <v>26</v>
      </c>
      <c r="H211" t="str">
        <f t="shared" si="16"/>
        <v>Business Administration</v>
      </c>
      <c r="I211" t="str">
        <f t="shared" si="20"/>
        <v>Good Standing</v>
      </c>
      <c r="J211" t="str">
        <f t="shared" si="17"/>
        <v>Good Standing</v>
      </c>
      <c r="K211" t="str">
        <f t="shared" si="18"/>
        <v>Good Standing</v>
      </c>
      <c r="L211" t="str">
        <f t="shared" si="19"/>
        <v>Business Administration</v>
      </c>
    </row>
    <row r="212" spans="1:14">
      <c r="A212" s="2" t="s">
        <v>317</v>
      </c>
      <c r="B212" s="2" t="s">
        <v>46</v>
      </c>
      <c r="C212" s="2">
        <v>87.6</v>
      </c>
      <c r="D212" s="2">
        <v>93.9</v>
      </c>
      <c r="E212" s="2">
        <v>58</v>
      </c>
      <c r="F212" s="2" t="s">
        <v>91</v>
      </c>
      <c r="G212" s="2" t="s">
        <v>26</v>
      </c>
      <c r="H212" t="str">
        <f t="shared" si="16"/>
        <v>Economics</v>
      </c>
      <c r="I212" t="str">
        <f t="shared" si="20"/>
        <v>Good Standing</v>
      </c>
      <c r="J212" t="str">
        <f t="shared" si="17"/>
        <v>Good Standing</v>
      </c>
      <c r="K212" t="str">
        <f t="shared" si="18"/>
        <v>Good Standing</v>
      </c>
      <c r="L212" t="str">
        <f t="shared" si="19"/>
        <v>Economics</v>
      </c>
    </row>
    <row r="213" spans="1:14">
      <c r="A213" s="2" t="s">
        <v>154</v>
      </c>
      <c r="B213" s="2" t="s">
        <v>34</v>
      </c>
      <c r="C213" s="2">
        <v>65.2</v>
      </c>
      <c r="D213" s="2" t="s">
        <v>91</v>
      </c>
      <c r="E213" s="2">
        <v>58</v>
      </c>
      <c r="F213" s="2">
        <v>91</v>
      </c>
      <c r="G213" s="2" t="s">
        <v>26</v>
      </c>
      <c r="H213" t="str">
        <f t="shared" si="16"/>
        <v>Data Science</v>
      </c>
      <c r="I213" t="str">
        <f t="shared" si="20"/>
        <v>Good Standing</v>
      </c>
      <c r="J213" t="str">
        <f t="shared" si="17"/>
        <v>Good Standing</v>
      </c>
      <c r="K213" t="str">
        <f t="shared" si="18"/>
        <v>Good Standing</v>
      </c>
      <c r="L213" t="str">
        <f t="shared" si="19"/>
        <v>Data Science</v>
      </c>
    </row>
    <row r="214" spans="1:14">
      <c r="A214" s="2" t="s">
        <v>227</v>
      </c>
      <c r="B214" s="2" t="s">
        <v>30</v>
      </c>
      <c r="C214" s="2">
        <v>91.4</v>
      </c>
      <c r="D214" s="2">
        <v>69.900000000000006</v>
      </c>
      <c r="E214" s="2">
        <v>58</v>
      </c>
      <c r="F214" s="2">
        <v>82.8</v>
      </c>
      <c r="G214" s="2" t="s">
        <v>22</v>
      </c>
      <c r="H214" t="str">
        <f t="shared" si="16"/>
        <v>Computer Science</v>
      </c>
      <c r="I214" t="str">
        <f t="shared" si="20"/>
        <v>At Risk</v>
      </c>
      <c r="J214" t="str">
        <f t="shared" si="17"/>
        <v>At Risk</v>
      </c>
      <c r="K214" t="str">
        <f t="shared" si="18"/>
        <v>At Risk</v>
      </c>
      <c r="L214" t="str">
        <f t="shared" si="19"/>
        <v>Computer Science</v>
      </c>
    </row>
    <row r="215" spans="1:14">
      <c r="A215" s="2" t="s">
        <v>296</v>
      </c>
      <c r="B215" s="2" t="s">
        <v>30</v>
      </c>
      <c r="C215" s="2">
        <v>100</v>
      </c>
      <c r="D215" s="2">
        <v>69.8</v>
      </c>
      <c r="E215" s="2">
        <v>57.9</v>
      </c>
      <c r="F215" s="2">
        <v>78.8</v>
      </c>
      <c r="G215" s="2" t="s">
        <v>26</v>
      </c>
      <c r="H215" t="str">
        <f t="shared" si="16"/>
        <v>Computer Science</v>
      </c>
      <c r="I215" t="str">
        <f t="shared" si="20"/>
        <v>Good Standing</v>
      </c>
      <c r="J215" t="str">
        <f t="shared" si="17"/>
        <v>Good Standing</v>
      </c>
      <c r="K215" t="str">
        <f t="shared" si="18"/>
        <v>Good Standing</v>
      </c>
      <c r="L215" t="str">
        <f t="shared" si="19"/>
        <v>Computer Science</v>
      </c>
    </row>
    <row r="216" spans="1:14">
      <c r="A216" s="2" t="s">
        <v>270</v>
      </c>
      <c r="B216" s="2" t="s">
        <v>30</v>
      </c>
      <c r="C216" s="2">
        <v>71.8</v>
      </c>
      <c r="D216" s="2">
        <v>100</v>
      </c>
      <c r="E216" s="2">
        <v>57.1</v>
      </c>
      <c r="F216" s="2">
        <v>92.2</v>
      </c>
      <c r="G216" s="2" t="s">
        <v>91</v>
      </c>
      <c r="H216" t="str">
        <f t="shared" si="16"/>
        <v>Computer Science</v>
      </c>
      <c r="I216" t="str">
        <f t="shared" si="20"/>
        <v>Unknown</v>
      </c>
      <c r="J216" t="str">
        <f t="shared" si="17"/>
        <v>Unknown</v>
      </c>
      <c r="K216" t="str">
        <f t="shared" si="18"/>
        <v>Unknown</v>
      </c>
      <c r="L216" t="str">
        <f t="shared" si="19"/>
        <v>Computer Science</v>
      </c>
      <c r="N216">
        <f>COUNTA(I2:I298,"Good Standing")</f>
        <v>298</v>
      </c>
    </row>
    <row r="217" spans="1:14">
      <c r="A217" s="2" t="s">
        <v>134</v>
      </c>
      <c r="B217" s="2" t="s">
        <v>34</v>
      </c>
      <c r="C217" s="2">
        <v>76.099999999999994</v>
      </c>
      <c r="D217" s="2">
        <v>77.5</v>
      </c>
      <c r="E217" s="2">
        <v>56.8</v>
      </c>
      <c r="F217" s="2">
        <v>100</v>
      </c>
      <c r="G217" s="2" t="s">
        <v>26</v>
      </c>
      <c r="H217" t="str">
        <f t="shared" si="16"/>
        <v>Data Science</v>
      </c>
      <c r="I217" t="str">
        <f>IF(OR(TRIM(G86)="",TRIM(G86)="-",UPPER(TRIM(G86))="UNKNOWN"),"Unknown",IF(OR(UPPER(TRIM(G86))="AR",UPPER(TRIM(G86))="AT RISK"),"At Risk",IF(UPPER(TRIM(G86))="GOOD STANDING","Good Standing","Unknown")))</f>
        <v>Good Standing</v>
      </c>
      <c r="J217" t="str">
        <f t="shared" si="17"/>
        <v>Good Standing</v>
      </c>
      <c r="K217" t="str">
        <f t="shared" si="18"/>
        <v>Good Standing</v>
      </c>
      <c r="L217" t="str">
        <f t="shared" si="19"/>
        <v>Data Science</v>
      </c>
    </row>
    <row r="218" spans="1:14">
      <c r="A218" s="2" t="s">
        <v>198</v>
      </c>
      <c r="B218" s="2" t="s">
        <v>34</v>
      </c>
      <c r="C218" s="2">
        <v>77.599999999999994</v>
      </c>
      <c r="D218" s="2">
        <v>60.2</v>
      </c>
      <c r="E218" s="2">
        <v>56.7</v>
      </c>
      <c r="F218" s="2">
        <v>71.543880000000001</v>
      </c>
      <c r="G218" s="2" t="s">
        <v>26</v>
      </c>
      <c r="H218" t="str">
        <f t="shared" si="16"/>
        <v>Data Science</v>
      </c>
      <c r="I218" t="str">
        <f t="shared" si="20"/>
        <v>Good Standing</v>
      </c>
      <c r="J218" t="str">
        <f t="shared" si="17"/>
        <v>Good Standing</v>
      </c>
      <c r="K218" t="str">
        <f t="shared" si="18"/>
        <v>Good Standing</v>
      </c>
      <c r="L218" t="str">
        <f t="shared" si="19"/>
        <v>Data Science</v>
      </c>
    </row>
    <row r="219" spans="1:14">
      <c r="A219" s="2" t="s">
        <v>164</v>
      </c>
      <c r="B219" s="2" t="s">
        <v>24</v>
      </c>
      <c r="C219" s="2">
        <v>78</v>
      </c>
      <c r="D219" s="2">
        <v>54.4</v>
      </c>
      <c r="E219" s="2">
        <v>56.4</v>
      </c>
      <c r="F219" s="2">
        <v>82.6</v>
      </c>
      <c r="G219" s="2" t="s">
        <v>26</v>
      </c>
      <c r="H219" t="str">
        <f t="shared" si="16"/>
        <v>Business Administration</v>
      </c>
      <c r="I219" t="str">
        <f t="shared" si="20"/>
        <v>Good Standing</v>
      </c>
      <c r="J219" t="str">
        <f t="shared" si="17"/>
        <v>Good Standing</v>
      </c>
      <c r="K219" t="str">
        <f t="shared" si="18"/>
        <v>Good Standing</v>
      </c>
      <c r="L219" t="str">
        <f t="shared" si="19"/>
        <v>Business Administration</v>
      </c>
    </row>
    <row r="220" spans="1:14">
      <c r="A220" s="2" t="s">
        <v>279</v>
      </c>
      <c r="B220" s="2" t="s">
        <v>46</v>
      </c>
      <c r="C220" s="2">
        <v>73.599999999999994</v>
      </c>
      <c r="D220" s="2">
        <v>84.8</v>
      </c>
      <c r="E220" s="2">
        <v>56.4</v>
      </c>
      <c r="F220" s="2">
        <v>65.2</v>
      </c>
      <c r="G220" s="2" t="s">
        <v>26</v>
      </c>
      <c r="H220" t="str">
        <f t="shared" si="16"/>
        <v>Economics</v>
      </c>
      <c r="I220" t="str">
        <f t="shared" si="20"/>
        <v>Good Standing</v>
      </c>
      <c r="J220" t="str">
        <f t="shared" si="17"/>
        <v>Good Standing</v>
      </c>
      <c r="K220" t="str">
        <f t="shared" si="18"/>
        <v>Good Standing</v>
      </c>
      <c r="L220" t="str">
        <f t="shared" si="19"/>
        <v>Economics</v>
      </c>
    </row>
    <row r="221" spans="1:14">
      <c r="A221" s="2" t="s">
        <v>301</v>
      </c>
      <c r="B221" s="2" t="s">
        <v>21</v>
      </c>
      <c r="C221" s="2">
        <v>84.5</v>
      </c>
      <c r="D221" s="2">
        <v>63.5</v>
      </c>
      <c r="E221" s="2">
        <v>56.2</v>
      </c>
      <c r="F221" s="2">
        <v>85.4</v>
      </c>
      <c r="G221" s="2" t="s">
        <v>22</v>
      </c>
      <c r="H221" t="str">
        <f t="shared" si="16"/>
        <v>Public Health</v>
      </c>
      <c r="I221" t="str">
        <f t="shared" si="20"/>
        <v>At Risk</v>
      </c>
      <c r="J221" t="str">
        <f t="shared" si="17"/>
        <v>At Risk</v>
      </c>
      <c r="K221" t="str">
        <f t="shared" si="18"/>
        <v>At Risk</v>
      </c>
      <c r="L221" t="str">
        <f t="shared" si="19"/>
        <v>Public Health</v>
      </c>
    </row>
    <row r="222" spans="1:14">
      <c r="A222" s="2" t="s">
        <v>52</v>
      </c>
      <c r="B222" s="2" t="s">
        <v>24</v>
      </c>
      <c r="C222" s="2">
        <v>88.4</v>
      </c>
      <c r="D222" s="2">
        <v>67.599999999999994</v>
      </c>
      <c r="E222" s="2">
        <v>56</v>
      </c>
      <c r="F222" s="2">
        <v>66.2</v>
      </c>
      <c r="G222" s="2" t="s">
        <v>26</v>
      </c>
      <c r="H222" t="str">
        <f t="shared" si="16"/>
        <v>Business Administration</v>
      </c>
      <c r="I222" t="str">
        <f t="shared" si="20"/>
        <v>Good Standing</v>
      </c>
      <c r="J222" t="str">
        <f t="shared" si="17"/>
        <v>Good Standing</v>
      </c>
      <c r="K222" t="str">
        <f t="shared" si="18"/>
        <v>Good Standing</v>
      </c>
      <c r="L222" t="str">
        <f t="shared" si="19"/>
        <v>Business Administration</v>
      </c>
    </row>
    <row r="223" spans="1:14">
      <c r="A223" s="2" t="s">
        <v>306</v>
      </c>
      <c r="B223" s="2" t="s">
        <v>30</v>
      </c>
      <c r="C223" s="2">
        <v>72.900000000000006</v>
      </c>
      <c r="D223" s="2">
        <v>67.599999999999994</v>
      </c>
      <c r="E223" s="2">
        <v>55.4</v>
      </c>
      <c r="F223" s="2">
        <v>77.5</v>
      </c>
      <c r="G223" s="2" t="s">
        <v>26</v>
      </c>
      <c r="H223" t="str">
        <f t="shared" si="16"/>
        <v>Computer Science</v>
      </c>
      <c r="I223" t="str">
        <f t="shared" si="20"/>
        <v>Good Standing</v>
      </c>
      <c r="J223" t="str">
        <f t="shared" si="17"/>
        <v>Good Standing</v>
      </c>
      <c r="K223" t="str">
        <f t="shared" si="18"/>
        <v>Good Standing</v>
      </c>
      <c r="L223" t="str">
        <f t="shared" si="19"/>
        <v>Computer Science</v>
      </c>
    </row>
    <row r="224" spans="1:14">
      <c r="A224" s="2" t="s">
        <v>158</v>
      </c>
      <c r="B224" s="2" t="s">
        <v>30</v>
      </c>
      <c r="C224" s="2">
        <v>88.6</v>
      </c>
      <c r="D224" s="2">
        <v>77.400000000000006</v>
      </c>
      <c r="E224" s="2">
        <v>54.8</v>
      </c>
      <c r="F224" s="2">
        <v>50.6</v>
      </c>
      <c r="G224" s="2" t="s">
        <v>26</v>
      </c>
      <c r="H224" t="str">
        <f t="shared" si="16"/>
        <v>Computer Science</v>
      </c>
      <c r="I224" t="str">
        <f t="shared" si="20"/>
        <v>Good Standing</v>
      </c>
      <c r="J224" t="str">
        <f t="shared" si="17"/>
        <v>Good Standing</v>
      </c>
      <c r="K224" t="str">
        <f t="shared" si="18"/>
        <v>Good Standing</v>
      </c>
      <c r="L224" t="str">
        <f t="shared" si="19"/>
        <v>Computer Science</v>
      </c>
    </row>
    <row r="225" spans="1:12">
      <c r="A225" s="2" t="s">
        <v>274</v>
      </c>
      <c r="B225" s="2" t="s">
        <v>24</v>
      </c>
      <c r="C225" s="2">
        <v>97.4</v>
      </c>
      <c r="D225" s="2">
        <v>78.3</v>
      </c>
      <c r="E225" s="2">
        <v>54</v>
      </c>
      <c r="F225" s="2">
        <v>66.2</v>
      </c>
      <c r="G225" s="2" t="s">
        <v>26</v>
      </c>
      <c r="H225" t="str">
        <f t="shared" si="16"/>
        <v>Business Administration</v>
      </c>
      <c r="I225" t="str">
        <f t="shared" si="20"/>
        <v>Good Standing</v>
      </c>
      <c r="J225" t="str">
        <f t="shared" si="17"/>
        <v>Good Standing</v>
      </c>
      <c r="K225" t="str">
        <f t="shared" si="18"/>
        <v>Good Standing</v>
      </c>
      <c r="L225" t="str">
        <f t="shared" si="19"/>
        <v>Business Administration</v>
      </c>
    </row>
    <row r="226" spans="1:12">
      <c r="A226" s="2" t="s">
        <v>286</v>
      </c>
      <c r="B226" s="2" t="s">
        <v>24</v>
      </c>
      <c r="C226" s="2">
        <v>94.1</v>
      </c>
      <c r="D226" s="2">
        <v>55.5</v>
      </c>
      <c r="E226" s="2">
        <v>54</v>
      </c>
      <c r="F226" s="2">
        <v>65.900000000000006</v>
      </c>
      <c r="G226" s="2" t="s">
        <v>22</v>
      </c>
      <c r="H226" t="str">
        <f t="shared" si="16"/>
        <v>Business Administration</v>
      </c>
      <c r="I226" t="str">
        <f t="shared" si="20"/>
        <v>At Risk</v>
      </c>
      <c r="J226" t="str">
        <f t="shared" si="17"/>
        <v>At Risk</v>
      </c>
      <c r="K226" t="str">
        <f t="shared" si="18"/>
        <v>At Risk</v>
      </c>
      <c r="L226" t="str">
        <f t="shared" si="19"/>
        <v>Business Administration</v>
      </c>
    </row>
    <row r="227" spans="1:12">
      <c r="A227" s="2" t="s">
        <v>251</v>
      </c>
      <c r="B227" s="2" t="s">
        <v>91</v>
      </c>
      <c r="C227" s="2">
        <v>82</v>
      </c>
      <c r="D227" s="2">
        <v>84.8</v>
      </c>
      <c r="E227" s="2">
        <v>53.7</v>
      </c>
      <c r="F227" s="2">
        <v>91.3</v>
      </c>
      <c r="G227" s="2" t="s">
        <v>26</v>
      </c>
      <c r="H227" t="str">
        <f t="shared" si="16"/>
        <v>Unknown</v>
      </c>
      <c r="I227" t="str">
        <f t="shared" si="20"/>
        <v>Good Standing</v>
      </c>
      <c r="J227" t="str">
        <f t="shared" si="17"/>
        <v>Good Standing</v>
      </c>
      <c r="K227" t="str">
        <f t="shared" si="18"/>
        <v>Good Standing</v>
      </c>
      <c r="L227" t="str">
        <f t="shared" si="19"/>
        <v>Unknown</v>
      </c>
    </row>
    <row r="228" spans="1:12">
      <c r="A228" s="2" t="s">
        <v>116</v>
      </c>
      <c r="B228" s="2" t="s">
        <v>24</v>
      </c>
      <c r="C228" s="2">
        <v>78.3</v>
      </c>
      <c r="D228" s="2">
        <v>86.8</v>
      </c>
      <c r="E228" s="2">
        <v>53.4</v>
      </c>
      <c r="F228" s="2">
        <v>68.5</v>
      </c>
      <c r="G228" s="2" t="s">
        <v>22</v>
      </c>
      <c r="H228" t="str">
        <f t="shared" si="16"/>
        <v>Business Administration</v>
      </c>
      <c r="I228" t="str">
        <f t="shared" si="20"/>
        <v>At Risk</v>
      </c>
      <c r="J228" t="str">
        <f t="shared" si="17"/>
        <v>At Risk</v>
      </c>
      <c r="K228" t="str">
        <f t="shared" si="18"/>
        <v>At Risk</v>
      </c>
      <c r="L228" t="str">
        <f t="shared" si="19"/>
        <v>Business Administration</v>
      </c>
    </row>
    <row r="229" spans="1:12">
      <c r="A229" s="2" t="s">
        <v>177</v>
      </c>
      <c r="B229" s="2" t="s">
        <v>30</v>
      </c>
      <c r="C229" s="2">
        <v>61.5</v>
      </c>
      <c r="D229" s="2">
        <v>75.7</v>
      </c>
      <c r="E229" s="2">
        <v>53.3</v>
      </c>
      <c r="F229" s="2">
        <v>72</v>
      </c>
      <c r="G229" s="2" t="s">
        <v>26</v>
      </c>
      <c r="H229" t="str">
        <f t="shared" si="16"/>
        <v>Computer Science</v>
      </c>
      <c r="I229" t="str">
        <f t="shared" si="20"/>
        <v>Good Standing</v>
      </c>
      <c r="J229" t="str">
        <f t="shared" si="17"/>
        <v>Good Standing</v>
      </c>
      <c r="K229" t="str">
        <f t="shared" si="18"/>
        <v>Good Standing</v>
      </c>
      <c r="L229" t="str">
        <f t="shared" si="19"/>
        <v>Computer Science</v>
      </c>
    </row>
    <row r="230" spans="1:12">
      <c r="A230" s="2" t="s">
        <v>221</v>
      </c>
      <c r="B230" s="2" t="s">
        <v>30</v>
      </c>
      <c r="C230" s="2">
        <v>72.900000000000006</v>
      </c>
      <c r="D230" s="2">
        <v>62.8</v>
      </c>
      <c r="E230" s="2">
        <v>53.1</v>
      </c>
      <c r="F230" s="2">
        <v>81.400000000000006</v>
      </c>
      <c r="G230" s="2" t="s">
        <v>26</v>
      </c>
      <c r="H230" t="str">
        <f t="shared" si="16"/>
        <v>Computer Science</v>
      </c>
      <c r="I230" t="str">
        <f t="shared" si="20"/>
        <v>Good Standing</v>
      </c>
      <c r="J230" t="str">
        <f t="shared" si="17"/>
        <v>Good Standing</v>
      </c>
      <c r="K230" t="str">
        <f t="shared" si="18"/>
        <v>Good Standing</v>
      </c>
      <c r="L230" t="str">
        <f t="shared" si="19"/>
        <v>Computer Science</v>
      </c>
    </row>
    <row r="231" spans="1:12">
      <c r="A231" s="2" t="s">
        <v>211</v>
      </c>
      <c r="B231" s="2" t="s">
        <v>34</v>
      </c>
      <c r="C231" s="2">
        <v>86.2</v>
      </c>
      <c r="D231" s="2">
        <v>88</v>
      </c>
      <c r="E231" s="2">
        <v>52.9</v>
      </c>
      <c r="F231" s="2">
        <v>70.2</v>
      </c>
      <c r="G231" s="2" t="s">
        <v>26</v>
      </c>
      <c r="H231" t="str">
        <f t="shared" si="16"/>
        <v>Data Science</v>
      </c>
      <c r="I231" t="str">
        <f t="shared" si="20"/>
        <v>Good Standing</v>
      </c>
      <c r="J231" t="str">
        <f t="shared" si="17"/>
        <v>Good Standing</v>
      </c>
      <c r="K231" t="str">
        <f t="shared" si="18"/>
        <v>Good Standing</v>
      </c>
      <c r="L231" t="str">
        <f t="shared" si="19"/>
        <v>Data Science</v>
      </c>
    </row>
    <row r="232" spans="1:12">
      <c r="A232" s="2" t="s">
        <v>280</v>
      </c>
      <c r="B232" s="2" t="s">
        <v>21</v>
      </c>
      <c r="C232" s="2">
        <v>58.7</v>
      </c>
      <c r="D232" s="2">
        <v>52</v>
      </c>
      <c r="E232" s="2">
        <v>52.5</v>
      </c>
      <c r="F232" s="2">
        <v>90.8</v>
      </c>
      <c r="G232" s="2" t="s">
        <v>22</v>
      </c>
      <c r="H232" t="str">
        <f t="shared" si="16"/>
        <v>Public Health</v>
      </c>
      <c r="I232" t="str">
        <f t="shared" si="20"/>
        <v>At Risk</v>
      </c>
      <c r="J232" t="str">
        <f t="shared" si="17"/>
        <v>At Risk</v>
      </c>
      <c r="K232" t="str">
        <f t="shared" si="18"/>
        <v>At Risk</v>
      </c>
      <c r="L232" t="str">
        <f t="shared" si="19"/>
        <v>Public Health</v>
      </c>
    </row>
    <row r="233" spans="1:12">
      <c r="A233" s="2" t="s">
        <v>23</v>
      </c>
      <c r="B233" s="2" t="s">
        <v>24</v>
      </c>
      <c r="C233" s="2">
        <v>55.6</v>
      </c>
      <c r="D233" s="2">
        <v>93.7</v>
      </c>
      <c r="E233" s="2">
        <v>52.4</v>
      </c>
      <c r="F233" s="2">
        <v>86.7</v>
      </c>
      <c r="G233" s="2" t="s">
        <v>22</v>
      </c>
      <c r="H233" t="str">
        <f t="shared" si="16"/>
        <v>Business Administration</v>
      </c>
      <c r="I233" t="str">
        <f t="shared" si="20"/>
        <v>At Risk</v>
      </c>
      <c r="J233" t="str">
        <f t="shared" si="17"/>
        <v>At Risk</v>
      </c>
      <c r="K233" t="str">
        <f t="shared" si="18"/>
        <v>At Risk</v>
      </c>
      <c r="L233" t="str">
        <f t="shared" si="19"/>
        <v>Business Administration</v>
      </c>
    </row>
    <row r="234" spans="1:12">
      <c r="A234" s="2" t="s">
        <v>174</v>
      </c>
      <c r="B234" s="2" t="s">
        <v>34</v>
      </c>
      <c r="C234" s="2">
        <v>58.7</v>
      </c>
      <c r="D234" s="2">
        <v>82.8</v>
      </c>
      <c r="E234" s="2">
        <v>52.4</v>
      </c>
      <c r="F234" s="2">
        <v>80.3</v>
      </c>
      <c r="G234" s="2" t="s">
        <v>91</v>
      </c>
      <c r="H234" t="str">
        <f t="shared" si="16"/>
        <v>Data Science</v>
      </c>
      <c r="I234" t="str">
        <f t="shared" si="20"/>
        <v>Unknown</v>
      </c>
      <c r="J234" t="str">
        <f t="shared" si="17"/>
        <v>Unknown</v>
      </c>
      <c r="K234" t="str">
        <f t="shared" si="18"/>
        <v>Unknown</v>
      </c>
      <c r="L234" t="str">
        <f t="shared" si="19"/>
        <v>Data Science</v>
      </c>
    </row>
    <row r="235" spans="1:12">
      <c r="A235" s="2" t="s">
        <v>317</v>
      </c>
      <c r="B235" s="2" t="s">
        <v>34</v>
      </c>
      <c r="C235" s="2">
        <v>80.900000000000006</v>
      </c>
      <c r="D235" s="2">
        <v>100</v>
      </c>
      <c r="E235" s="2">
        <v>52</v>
      </c>
      <c r="F235" s="2">
        <v>100</v>
      </c>
      <c r="G235" s="2" t="s">
        <v>26</v>
      </c>
      <c r="H235" t="str">
        <f t="shared" si="16"/>
        <v>Data Science</v>
      </c>
      <c r="I235" t="str">
        <f t="shared" si="20"/>
        <v>Good Standing</v>
      </c>
      <c r="J235" t="str">
        <f t="shared" si="17"/>
        <v>Good Standing</v>
      </c>
      <c r="K235" t="str">
        <f t="shared" si="18"/>
        <v>Good Standing</v>
      </c>
      <c r="L235" t="str">
        <f t="shared" si="19"/>
        <v>Data Science</v>
      </c>
    </row>
    <row r="236" spans="1:12">
      <c r="A236" s="2" t="s">
        <v>59</v>
      </c>
      <c r="B236" s="2" t="s">
        <v>28</v>
      </c>
      <c r="C236" s="2">
        <v>84.5</v>
      </c>
      <c r="D236" s="2">
        <v>100</v>
      </c>
      <c r="E236" s="2">
        <v>51.9</v>
      </c>
      <c r="F236" s="2">
        <v>69.400000000000006</v>
      </c>
      <c r="G236" s="2" t="s">
        <v>91</v>
      </c>
      <c r="H236" t="str">
        <f t="shared" si="16"/>
        <v>Engineering</v>
      </c>
      <c r="I236" t="str">
        <f t="shared" si="20"/>
        <v>Unknown</v>
      </c>
      <c r="J236" t="str">
        <f t="shared" si="17"/>
        <v>Unknown</v>
      </c>
      <c r="K236" t="str">
        <f t="shared" si="18"/>
        <v>Unknown</v>
      </c>
      <c r="L236" t="str">
        <f t="shared" si="19"/>
        <v>Engineering</v>
      </c>
    </row>
    <row r="237" spans="1:12">
      <c r="A237" s="2" t="s">
        <v>238</v>
      </c>
      <c r="B237" s="2" t="s">
        <v>91</v>
      </c>
      <c r="C237" s="2">
        <v>93.7</v>
      </c>
      <c r="D237" s="2">
        <v>73.599999999999994</v>
      </c>
      <c r="E237" s="2">
        <v>51.5</v>
      </c>
      <c r="F237" s="2">
        <v>89</v>
      </c>
      <c r="G237" s="2" t="s">
        <v>26</v>
      </c>
      <c r="H237" t="str">
        <f t="shared" si="16"/>
        <v>Unknown</v>
      </c>
      <c r="I237" t="str">
        <f t="shared" si="20"/>
        <v>Good Standing</v>
      </c>
      <c r="J237" t="str">
        <f t="shared" si="17"/>
        <v>Good Standing</v>
      </c>
      <c r="K237" t="str">
        <f t="shared" si="18"/>
        <v>Good Standing</v>
      </c>
      <c r="L237" t="str">
        <f t="shared" si="19"/>
        <v>Unknown</v>
      </c>
    </row>
    <row r="238" spans="1:12">
      <c r="A238" s="2" t="s">
        <v>295</v>
      </c>
      <c r="B238" s="2" t="s">
        <v>24</v>
      </c>
      <c r="C238" s="2">
        <v>90</v>
      </c>
      <c r="D238" s="2">
        <v>61.3</v>
      </c>
      <c r="E238" s="2">
        <v>51.2</v>
      </c>
      <c r="F238" s="2">
        <v>86.8</v>
      </c>
      <c r="G238" s="2" t="s">
        <v>26</v>
      </c>
      <c r="H238" t="str">
        <f t="shared" si="16"/>
        <v>Business Administration</v>
      </c>
      <c r="I238" t="str">
        <f t="shared" si="20"/>
        <v>Good Standing</v>
      </c>
      <c r="J238" t="str">
        <f t="shared" si="17"/>
        <v>Good Standing</v>
      </c>
      <c r="K238" t="str">
        <f t="shared" si="18"/>
        <v>Good Standing</v>
      </c>
      <c r="L238" t="str">
        <f t="shared" si="19"/>
        <v>Business Administration</v>
      </c>
    </row>
    <row r="239" spans="1:12">
      <c r="A239" s="2" t="s">
        <v>147</v>
      </c>
      <c r="B239" s="2" t="s">
        <v>34</v>
      </c>
      <c r="C239" s="2">
        <v>89.6</v>
      </c>
      <c r="D239" s="2">
        <v>53.1</v>
      </c>
      <c r="E239" s="2">
        <v>51</v>
      </c>
      <c r="F239" s="2">
        <v>71.543880000000001</v>
      </c>
      <c r="G239" s="2" t="s">
        <v>26</v>
      </c>
      <c r="H239" t="str">
        <f t="shared" si="16"/>
        <v>Data Science</v>
      </c>
      <c r="I239" t="str">
        <f t="shared" si="20"/>
        <v>Good Standing</v>
      </c>
      <c r="J239" t="str">
        <f t="shared" si="17"/>
        <v>Good Standing</v>
      </c>
      <c r="K239" t="str">
        <f t="shared" si="18"/>
        <v>Good Standing</v>
      </c>
      <c r="L239" t="str">
        <f t="shared" si="19"/>
        <v>Data Science</v>
      </c>
    </row>
    <row r="240" spans="1:12">
      <c r="A240" s="2" t="s">
        <v>317</v>
      </c>
      <c r="B240" s="2" t="s">
        <v>28</v>
      </c>
      <c r="C240" s="2">
        <v>79.5</v>
      </c>
      <c r="D240" s="2">
        <v>64.400000000000006</v>
      </c>
      <c r="E240" s="2">
        <v>50.7</v>
      </c>
      <c r="F240" s="2">
        <v>50.9</v>
      </c>
      <c r="G240" s="2" t="s">
        <v>26</v>
      </c>
      <c r="H240" t="str">
        <f t="shared" si="16"/>
        <v>Engineering</v>
      </c>
      <c r="I240" t="str">
        <f t="shared" si="20"/>
        <v>Good Standing</v>
      </c>
      <c r="J240" t="str">
        <f t="shared" si="17"/>
        <v>Good Standing</v>
      </c>
      <c r="K240" t="str">
        <f t="shared" si="18"/>
        <v>Good Standing</v>
      </c>
      <c r="L240" t="str">
        <f t="shared" si="19"/>
        <v>Engineering</v>
      </c>
    </row>
    <row r="241" spans="1:12">
      <c r="A241" s="2" t="s">
        <v>129</v>
      </c>
      <c r="B241" s="2" t="s">
        <v>34</v>
      </c>
      <c r="C241" s="2">
        <v>95.3</v>
      </c>
      <c r="D241" s="2">
        <v>70.3</v>
      </c>
      <c r="E241" s="2">
        <v>50.1</v>
      </c>
      <c r="F241" s="2">
        <v>61</v>
      </c>
      <c r="G241" s="2" t="s">
        <v>26</v>
      </c>
      <c r="H241" t="str">
        <f t="shared" si="16"/>
        <v>Data Science</v>
      </c>
      <c r="I241" t="str">
        <f t="shared" si="20"/>
        <v>Good Standing</v>
      </c>
      <c r="J241" t="str">
        <f t="shared" si="17"/>
        <v>Good Standing</v>
      </c>
      <c r="K241" t="str">
        <f t="shared" si="18"/>
        <v>Good Standing</v>
      </c>
      <c r="L241" t="str">
        <f t="shared" si="19"/>
        <v>Data Science</v>
      </c>
    </row>
    <row r="242" spans="1:12">
      <c r="A242" s="2" t="s">
        <v>264</v>
      </c>
      <c r="B242" s="2" t="s">
        <v>34</v>
      </c>
      <c r="C242" s="2">
        <v>100</v>
      </c>
      <c r="D242" s="2">
        <v>78.8</v>
      </c>
      <c r="E242" s="2">
        <v>49.9</v>
      </c>
      <c r="F242" s="2">
        <v>66.8</v>
      </c>
      <c r="G242" s="2" t="s">
        <v>26</v>
      </c>
      <c r="H242" t="str">
        <f t="shared" si="16"/>
        <v>Data Science</v>
      </c>
      <c r="I242" t="str">
        <f t="shared" si="20"/>
        <v>Good Standing</v>
      </c>
      <c r="J242" t="str">
        <f t="shared" si="17"/>
        <v>Good Standing</v>
      </c>
      <c r="K242" t="str">
        <f t="shared" si="18"/>
        <v>Good Standing</v>
      </c>
      <c r="L242" t="str">
        <f t="shared" si="19"/>
        <v>Data Science</v>
      </c>
    </row>
    <row r="243" spans="1:12">
      <c r="A243" s="2" t="s">
        <v>273</v>
      </c>
      <c r="B243" s="2" t="s">
        <v>24</v>
      </c>
      <c r="C243" s="2">
        <v>67.2</v>
      </c>
      <c r="D243" s="2">
        <v>100</v>
      </c>
      <c r="E243" s="2">
        <v>49.8</v>
      </c>
      <c r="F243" s="2">
        <v>71.543880000000001</v>
      </c>
      <c r="G243" s="2" t="s">
        <v>22</v>
      </c>
      <c r="H243" t="str">
        <f t="shared" si="16"/>
        <v>Business Administration</v>
      </c>
      <c r="I243" t="str">
        <f t="shared" si="20"/>
        <v>Good Standing</v>
      </c>
      <c r="J243" t="str">
        <f t="shared" si="17"/>
        <v>At Risk</v>
      </c>
      <c r="K243" t="str">
        <f t="shared" si="18"/>
        <v>At Risk</v>
      </c>
      <c r="L243" t="str">
        <f t="shared" si="19"/>
        <v>Business Administration</v>
      </c>
    </row>
    <row r="244" spans="1:12">
      <c r="A244" s="2" t="s">
        <v>92</v>
      </c>
      <c r="B244" s="2" t="s">
        <v>24</v>
      </c>
      <c r="C244" s="2">
        <v>85.8</v>
      </c>
      <c r="D244" s="2">
        <v>87.9</v>
      </c>
      <c r="E244" s="2">
        <v>49.7</v>
      </c>
      <c r="F244" s="2">
        <v>40.799999999999997</v>
      </c>
      <c r="G244" s="2" t="s">
        <v>26</v>
      </c>
      <c r="H244" t="str">
        <f t="shared" si="16"/>
        <v>Business Administration</v>
      </c>
      <c r="I244" t="str">
        <f t="shared" si="20"/>
        <v>Good Standing</v>
      </c>
      <c r="J244" t="str">
        <f t="shared" si="17"/>
        <v>Good Standing</v>
      </c>
      <c r="K244" t="str">
        <f t="shared" si="18"/>
        <v>Good Standing</v>
      </c>
      <c r="L244" t="str">
        <f t="shared" si="19"/>
        <v>Business Administration</v>
      </c>
    </row>
    <row r="245" spans="1:12">
      <c r="A245" s="2" t="s">
        <v>20</v>
      </c>
      <c r="B245" s="2" t="s">
        <v>21</v>
      </c>
      <c r="C245" s="2">
        <v>58.7</v>
      </c>
      <c r="D245" s="2">
        <v>69.8</v>
      </c>
      <c r="E245" s="2">
        <v>49.5</v>
      </c>
      <c r="F245" s="2">
        <v>71.543880000000001</v>
      </c>
      <c r="G245" s="2" t="s">
        <v>26</v>
      </c>
      <c r="H245" t="str">
        <f t="shared" si="16"/>
        <v>Public Health</v>
      </c>
      <c r="I245" t="str">
        <f t="shared" si="20"/>
        <v>Good Standing</v>
      </c>
      <c r="J245" t="str">
        <f t="shared" si="17"/>
        <v>Good Standing</v>
      </c>
      <c r="K245" t="str">
        <f t="shared" si="18"/>
        <v>Good Standing</v>
      </c>
      <c r="L245" t="str">
        <f t="shared" si="19"/>
        <v>Public Health</v>
      </c>
    </row>
    <row r="246" spans="1:12">
      <c r="A246" s="2" t="s">
        <v>25</v>
      </c>
      <c r="B246" s="2" t="s">
        <v>21</v>
      </c>
      <c r="C246" s="2">
        <v>95.4</v>
      </c>
      <c r="D246" s="2">
        <v>53.1</v>
      </c>
      <c r="E246" s="2">
        <v>49.5</v>
      </c>
      <c r="F246" s="2">
        <v>76.2</v>
      </c>
      <c r="G246" s="2" t="s">
        <v>26</v>
      </c>
      <c r="H246" t="str">
        <f t="shared" si="16"/>
        <v>Public Health</v>
      </c>
      <c r="I246" t="str">
        <f t="shared" si="20"/>
        <v>Good Standing</v>
      </c>
      <c r="J246" t="str">
        <f t="shared" si="17"/>
        <v>Good Standing</v>
      </c>
      <c r="K246" t="str">
        <f t="shared" si="18"/>
        <v>Good Standing</v>
      </c>
      <c r="L246" t="str">
        <f t="shared" si="19"/>
        <v>Public Health</v>
      </c>
    </row>
    <row r="247" spans="1:12">
      <c r="A247" s="2" t="s">
        <v>29</v>
      </c>
      <c r="B247" s="2" t="s">
        <v>30</v>
      </c>
      <c r="C247" s="2">
        <v>87.6</v>
      </c>
      <c r="D247" s="2">
        <v>91.8</v>
      </c>
      <c r="E247" s="2">
        <v>49.5</v>
      </c>
      <c r="F247" s="2">
        <v>84.7</v>
      </c>
      <c r="G247" s="2" t="s">
        <v>26</v>
      </c>
      <c r="H247" t="str">
        <f t="shared" si="16"/>
        <v>Computer Science</v>
      </c>
      <c r="I247" t="str">
        <f t="shared" si="20"/>
        <v>Good Standing</v>
      </c>
      <c r="J247" t="str">
        <f t="shared" si="17"/>
        <v>Good Standing</v>
      </c>
      <c r="K247" t="str">
        <f t="shared" si="18"/>
        <v>Good Standing</v>
      </c>
      <c r="L247" t="str">
        <f t="shared" si="19"/>
        <v>Computer Science</v>
      </c>
    </row>
    <row r="248" spans="1:12">
      <c r="A248" s="2" t="s">
        <v>32</v>
      </c>
      <c r="B248" s="2" t="s">
        <v>24</v>
      </c>
      <c r="C248" s="2">
        <v>74.099999999999994</v>
      </c>
      <c r="D248" s="2">
        <v>96</v>
      </c>
      <c r="E248" s="2">
        <v>49.5</v>
      </c>
      <c r="F248" s="2">
        <v>58</v>
      </c>
      <c r="G248" s="2" t="s">
        <v>26</v>
      </c>
      <c r="H248" t="str">
        <f t="shared" si="16"/>
        <v>Business Administration</v>
      </c>
      <c r="I248" t="str">
        <f t="shared" si="20"/>
        <v>Good Standing</v>
      </c>
      <c r="J248" t="str">
        <f t="shared" si="17"/>
        <v>Good Standing</v>
      </c>
      <c r="K248" t="str">
        <f t="shared" si="18"/>
        <v>Good Standing</v>
      </c>
      <c r="L248" t="str">
        <f t="shared" si="19"/>
        <v>Business Administration</v>
      </c>
    </row>
    <row r="249" spans="1:12">
      <c r="A249" s="2" t="s">
        <v>38</v>
      </c>
      <c r="B249" s="2" t="s">
        <v>21</v>
      </c>
      <c r="C249" s="2">
        <v>96.1</v>
      </c>
      <c r="D249" s="2" t="s">
        <v>39</v>
      </c>
      <c r="E249" s="2">
        <v>49.5</v>
      </c>
      <c r="F249" s="2">
        <v>83.8</v>
      </c>
      <c r="G249" s="2" t="s">
        <v>22</v>
      </c>
      <c r="H249" t="str">
        <f t="shared" si="16"/>
        <v>Public Health</v>
      </c>
      <c r="I249" t="str">
        <f t="shared" si="20"/>
        <v>Good Standing</v>
      </c>
      <c r="J249" t="str">
        <f t="shared" si="17"/>
        <v>At Risk</v>
      </c>
      <c r="K249" t="str">
        <f t="shared" si="18"/>
        <v>At Risk</v>
      </c>
      <c r="L249" t="str">
        <f t="shared" si="19"/>
        <v>Public Health</v>
      </c>
    </row>
    <row r="250" spans="1:12">
      <c r="A250" s="2" t="s">
        <v>47</v>
      </c>
      <c r="B250" s="2" t="s">
        <v>34</v>
      </c>
      <c r="C250" s="2">
        <v>91.7</v>
      </c>
      <c r="D250" s="2">
        <v>78.3</v>
      </c>
      <c r="E250" s="2">
        <v>49.5</v>
      </c>
      <c r="F250" s="2">
        <v>57.3</v>
      </c>
      <c r="G250" s="2" t="s">
        <v>26</v>
      </c>
      <c r="H250" t="str">
        <f t="shared" si="16"/>
        <v>Data Science</v>
      </c>
      <c r="I250" t="str">
        <f t="shared" si="20"/>
        <v>Good Standing</v>
      </c>
      <c r="J250" t="str">
        <f t="shared" si="17"/>
        <v>Good Standing</v>
      </c>
      <c r="K250" t="str">
        <f t="shared" si="18"/>
        <v>Good Standing</v>
      </c>
      <c r="L250" t="str">
        <f t="shared" si="19"/>
        <v>Data Science</v>
      </c>
    </row>
    <row r="251" spans="1:12">
      <c r="A251" s="2" t="s">
        <v>70</v>
      </c>
      <c r="B251" s="2" t="s">
        <v>24</v>
      </c>
      <c r="C251" s="2">
        <v>95.6</v>
      </c>
      <c r="D251" s="2">
        <v>53.2</v>
      </c>
      <c r="E251" s="2">
        <v>49.5</v>
      </c>
      <c r="F251" s="2">
        <v>78.7</v>
      </c>
      <c r="G251" s="2" t="s">
        <v>26</v>
      </c>
      <c r="H251" t="str">
        <f t="shared" si="16"/>
        <v>Business Administration</v>
      </c>
      <c r="I251" t="str">
        <f t="shared" si="20"/>
        <v>Good Standing</v>
      </c>
      <c r="J251" t="str">
        <f t="shared" si="17"/>
        <v>Good Standing</v>
      </c>
      <c r="K251" t="str">
        <f t="shared" si="18"/>
        <v>Good Standing</v>
      </c>
      <c r="L251" t="str">
        <f t="shared" si="19"/>
        <v>Business Administration</v>
      </c>
    </row>
    <row r="252" spans="1:12">
      <c r="A252" s="2" t="s">
        <v>72</v>
      </c>
      <c r="B252" s="2" t="s">
        <v>24</v>
      </c>
      <c r="C252" s="2">
        <v>96.3</v>
      </c>
      <c r="D252" s="2">
        <v>70.900000000000006</v>
      </c>
      <c r="E252" s="2">
        <v>49.5</v>
      </c>
      <c r="F252" s="2">
        <v>57.9</v>
      </c>
      <c r="G252" s="2" t="s">
        <v>22</v>
      </c>
      <c r="H252" t="str">
        <f t="shared" si="16"/>
        <v>Business Administration</v>
      </c>
      <c r="I252" t="str">
        <f t="shared" si="20"/>
        <v>At Risk</v>
      </c>
      <c r="J252" t="str">
        <f t="shared" si="17"/>
        <v>At Risk</v>
      </c>
      <c r="K252" t="str">
        <f t="shared" si="18"/>
        <v>At Risk</v>
      </c>
      <c r="L252" t="str">
        <f t="shared" si="19"/>
        <v>Business Administration</v>
      </c>
    </row>
    <row r="253" spans="1:12">
      <c r="A253" s="2" t="s">
        <v>100</v>
      </c>
      <c r="B253" s="2" t="s">
        <v>24</v>
      </c>
      <c r="C253" s="2">
        <v>80.7</v>
      </c>
      <c r="D253" s="2">
        <v>100</v>
      </c>
      <c r="E253" s="2">
        <v>49.5</v>
      </c>
      <c r="F253" s="2">
        <v>72.3</v>
      </c>
      <c r="G253" s="2" t="s">
        <v>26</v>
      </c>
      <c r="H253" t="str">
        <f t="shared" si="16"/>
        <v>Business Administration</v>
      </c>
      <c r="I253" t="str">
        <f t="shared" si="20"/>
        <v>Good Standing</v>
      </c>
      <c r="J253" t="str">
        <f t="shared" si="17"/>
        <v>Good Standing</v>
      </c>
      <c r="K253" t="str">
        <f t="shared" si="18"/>
        <v>Good Standing</v>
      </c>
      <c r="L253" t="str">
        <f t="shared" si="19"/>
        <v>Business Administration</v>
      </c>
    </row>
    <row r="254" spans="1:12">
      <c r="A254" s="2" t="s">
        <v>104</v>
      </c>
      <c r="B254" s="2" t="s">
        <v>46</v>
      </c>
      <c r="C254" s="2">
        <v>58.7</v>
      </c>
      <c r="D254" s="2">
        <v>75.3</v>
      </c>
      <c r="E254" s="2">
        <v>49.5</v>
      </c>
      <c r="F254" s="2">
        <v>83.6</v>
      </c>
      <c r="G254" s="2" t="s">
        <v>26</v>
      </c>
      <c r="H254" t="str">
        <f t="shared" si="16"/>
        <v>Economics</v>
      </c>
      <c r="I254" t="str">
        <f t="shared" si="20"/>
        <v>At Risk</v>
      </c>
      <c r="J254" t="str">
        <f t="shared" si="17"/>
        <v>Good Standing</v>
      </c>
      <c r="K254" t="str">
        <f t="shared" si="18"/>
        <v>Good Standing</v>
      </c>
      <c r="L254" t="str">
        <f t="shared" si="19"/>
        <v>Economics</v>
      </c>
    </row>
    <row r="255" spans="1:12">
      <c r="A255" s="2" t="s">
        <v>125</v>
      </c>
      <c r="B255" s="2" t="s">
        <v>46</v>
      </c>
      <c r="C255" s="2">
        <v>72.099999999999994</v>
      </c>
      <c r="D255" s="2">
        <v>61.7</v>
      </c>
      <c r="E255" s="2">
        <v>49.5</v>
      </c>
      <c r="F255" s="2">
        <v>59.5</v>
      </c>
      <c r="G255" s="2" t="s">
        <v>22</v>
      </c>
      <c r="H255" t="str">
        <f t="shared" si="16"/>
        <v>Economics</v>
      </c>
      <c r="I255" t="str">
        <f t="shared" si="20"/>
        <v>Good Standing</v>
      </c>
      <c r="J255" t="str">
        <f t="shared" si="17"/>
        <v>At Risk</v>
      </c>
      <c r="K255" t="str">
        <f t="shared" si="18"/>
        <v>At Risk</v>
      </c>
      <c r="L255" t="str">
        <f t="shared" si="19"/>
        <v>Economics</v>
      </c>
    </row>
    <row r="256" spans="1:12">
      <c r="A256" s="2" t="s">
        <v>140</v>
      </c>
      <c r="B256" s="2" t="s">
        <v>28</v>
      </c>
      <c r="C256" s="2">
        <v>68.900000000000006</v>
      </c>
      <c r="D256" s="2">
        <v>60.9</v>
      </c>
      <c r="E256" s="2">
        <v>49.5</v>
      </c>
      <c r="F256" s="2">
        <v>77.2</v>
      </c>
      <c r="G256" s="2" t="s">
        <v>22</v>
      </c>
      <c r="H256" t="str">
        <f t="shared" si="16"/>
        <v>Engineering</v>
      </c>
      <c r="I256" t="str">
        <f t="shared" si="20"/>
        <v>Good Standing</v>
      </c>
      <c r="J256" t="str">
        <f t="shared" si="17"/>
        <v>At Risk</v>
      </c>
      <c r="K256" t="str">
        <f t="shared" si="18"/>
        <v>At Risk</v>
      </c>
      <c r="L256" t="str">
        <f t="shared" si="19"/>
        <v>Engineering</v>
      </c>
    </row>
    <row r="257" spans="1:12">
      <c r="A257" s="2" t="s">
        <v>176</v>
      </c>
      <c r="B257" s="2" t="s">
        <v>30</v>
      </c>
      <c r="C257" s="2">
        <v>74.900000000000006</v>
      </c>
      <c r="D257" s="2">
        <v>85.2</v>
      </c>
      <c r="E257" s="2">
        <v>49.5</v>
      </c>
      <c r="F257" s="2">
        <v>64.099999999999994</v>
      </c>
      <c r="G257" s="2" t="s">
        <v>26</v>
      </c>
      <c r="H257" t="str">
        <f t="shared" si="16"/>
        <v>Computer Science</v>
      </c>
      <c r="I257" t="str">
        <f t="shared" si="20"/>
        <v>Good Standing</v>
      </c>
      <c r="J257" t="str">
        <f t="shared" si="17"/>
        <v>Good Standing</v>
      </c>
      <c r="K257" t="str">
        <f t="shared" si="18"/>
        <v>Good Standing</v>
      </c>
      <c r="L257" t="str">
        <f t="shared" si="19"/>
        <v>Computer Science</v>
      </c>
    </row>
    <row r="258" spans="1:12">
      <c r="A258" s="2" t="s">
        <v>186</v>
      </c>
      <c r="B258" s="2" t="s">
        <v>30</v>
      </c>
      <c r="C258" s="2">
        <v>90</v>
      </c>
      <c r="D258" s="2">
        <v>87.2</v>
      </c>
      <c r="E258" s="2">
        <v>49.5</v>
      </c>
      <c r="F258" s="2">
        <v>88.9</v>
      </c>
      <c r="G258" s="2" t="s">
        <v>26</v>
      </c>
      <c r="H258" t="str">
        <f t="shared" ref="H258:H298" si="21">IF(OR(TRIM(B258)="",TRIM(B258)="-",TRIM(B258)="Unknown"),"Unknown",IF(UPPER(TRIM(B258))="CS","Computer Science",IF(UPPER(TRIM(B258))="PH","Public Health",PROPER(TRIM(B258)))))</f>
        <v>Computer Science</v>
      </c>
      <c r="I258" t="str">
        <f t="shared" si="20"/>
        <v>At Risk</v>
      </c>
      <c r="J258" t="str">
        <f t="shared" ref="J258:J298" si="22">TRIM(G258)</f>
        <v>Good Standing</v>
      </c>
      <c r="K258" t="str">
        <f t="shared" ref="K258:K298" si="23">TRIM(CLEAN(SUBSTITUTE(G258,CHAR(160)," ")))</f>
        <v>Good Standing</v>
      </c>
      <c r="L258" t="str">
        <f t="shared" ref="L258:L298" si="24">TRIM(CLEAN(SUBSTITUTE(B258,CHAR(160)," ")))</f>
        <v>Computer Science</v>
      </c>
    </row>
    <row r="259" spans="1:12">
      <c r="A259" s="2" t="s">
        <v>219</v>
      </c>
      <c r="B259" s="2" t="s">
        <v>34</v>
      </c>
      <c r="C259" s="2">
        <v>92.8</v>
      </c>
      <c r="D259" s="2">
        <v>64.8</v>
      </c>
      <c r="E259" s="2">
        <v>49.5</v>
      </c>
      <c r="F259" s="2">
        <v>60.7</v>
      </c>
      <c r="G259" s="2" t="s">
        <v>26</v>
      </c>
      <c r="H259" t="str">
        <f t="shared" si="21"/>
        <v>Data Science</v>
      </c>
      <c r="I259" t="str">
        <f t="shared" si="20"/>
        <v>Good Standing</v>
      </c>
      <c r="J259" t="str">
        <f t="shared" si="22"/>
        <v>Good Standing</v>
      </c>
      <c r="K259" t="str">
        <f t="shared" si="23"/>
        <v>Good Standing</v>
      </c>
      <c r="L259" t="str">
        <f t="shared" si="24"/>
        <v>Data Science</v>
      </c>
    </row>
    <row r="260" spans="1:12">
      <c r="A260" s="2" t="s">
        <v>224</v>
      </c>
      <c r="B260" s="2" t="s">
        <v>30</v>
      </c>
      <c r="C260" s="2">
        <v>88.7</v>
      </c>
      <c r="D260" s="2">
        <v>84</v>
      </c>
      <c r="E260" s="2">
        <v>49.5</v>
      </c>
      <c r="F260" s="2">
        <v>53.3</v>
      </c>
      <c r="G260" s="2" t="s">
        <v>91</v>
      </c>
      <c r="H260" t="str">
        <f t="shared" si="21"/>
        <v>Computer Science</v>
      </c>
      <c r="I260" t="str">
        <f t="shared" si="20"/>
        <v>Good Standing</v>
      </c>
      <c r="J260" t="str">
        <f t="shared" si="22"/>
        <v>Unknown</v>
      </c>
      <c r="K260" t="str">
        <f t="shared" si="23"/>
        <v>Unknown</v>
      </c>
      <c r="L260" t="str">
        <f t="shared" si="24"/>
        <v>Computer Science</v>
      </c>
    </row>
    <row r="261" spans="1:12">
      <c r="A261" s="2" t="s">
        <v>261</v>
      </c>
      <c r="B261" s="2" t="s">
        <v>21</v>
      </c>
      <c r="C261" s="2">
        <v>84.9</v>
      </c>
      <c r="D261" s="2">
        <v>80.7</v>
      </c>
      <c r="E261" s="2">
        <v>49.5</v>
      </c>
      <c r="F261" s="2">
        <v>49.2</v>
      </c>
      <c r="G261" s="2" t="s">
        <v>26</v>
      </c>
      <c r="H261" t="str">
        <f t="shared" si="21"/>
        <v>Public Health</v>
      </c>
      <c r="I261" t="str">
        <f t="shared" si="20"/>
        <v>At Risk</v>
      </c>
      <c r="J261" t="str">
        <f t="shared" si="22"/>
        <v>Good Standing</v>
      </c>
      <c r="K261" t="str">
        <f t="shared" si="23"/>
        <v>Good Standing</v>
      </c>
      <c r="L261" t="str">
        <f t="shared" si="24"/>
        <v>Public Health</v>
      </c>
    </row>
    <row r="262" spans="1:12">
      <c r="A262" s="2" t="s">
        <v>275</v>
      </c>
      <c r="B262" s="2" t="s">
        <v>34</v>
      </c>
      <c r="C262" s="2">
        <v>79.900000000000006</v>
      </c>
      <c r="D262" s="2">
        <v>62.6</v>
      </c>
      <c r="E262" s="2">
        <v>49.5</v>
      </c>
      <c r="F262" s="2">
        <v>62.3</v>
      </c>
      <c r="G262" s="2" t="s">
        <v>91</v>
      </c>
      <c r="H262" t="str">
        <f t="shared" si="21"/>
        <v>Data Science</v>
      </c>
      <c r="I262" t="str">
        <f t="shared" ref="I262:I298" si="25">IF(OR(TRIM(G131)="",TRIM(G131)="-",UPPER(TRIM(G131))="UNKNOWN"),"Unknown",IF(OR(UPPER(TRIM(G131))="AR",UPPER(TRIM(G131))="AT RISK"),"At Risk",IF(UPPER(TRIM(G131))="GOOD STANDING","Good Standing","Unknown")))</f>
        <v>Good Standing</v>
      </c>
      <c r="J262" t="str">
        <f t="shared" si="22"/>
        <v>Unknown</v>
      </c>
      <c r="K262" t="str">
        <f t="shared" si="23"/>
        <v>Unknown</v>
      </c>
      <c r="L262" t="str">
        <f t="shared" si="24"/>
        <v>Data Science</v>
      </c>
    </row>
    <row r="263" spans="1:12">
      <c r="A263" s="2" t="s">
        <v>284</v>
      </c>
      <c r="B263" s="2" t="s">
        <v>21</v>
      </c>
      <c r="C263" s="2">
        <v>75.2</v>
      </c>
      <c r="D263" s="2">
        <v>76.400000000000006</v>
      </c>
      <c r="E263" s="2">
        <v>49.5</v>
      </c>
      <c r="F263" s="2">
        <v>98.9</v>
      </c>
      <c r="G263" s="2" t="s">
        <v>26</v>
      </c>
      <c r="H263" t="str">
        <f t="shared" si="21"/>
        <v>Public Health</v>
      </c>
      <c r="I263" t="str">
        <f t="shared" si="25"/>
        <v>Good Standing</v>
      </c>
      <c r="J263" t="str">
        <f t="shared" si="22"/>
        <v>Good Standing</v>
      </c>
      <c r="K263" t="str">
        <f t="shared" si="23"/>
        <v>Good Standing</v>
      </c>
      <c r="L263" t="str">
        <f t="shared" si="24"/>
        <v>Public Health</v>
      </c>
    </row>
    <row r="264" spans="1:12">
      <c r="A264" s="2" t="s">
        <v>287</v>
      </c>
      <c r="B264" s="2" t="s">
        <v>28</v>
      </c>
      <c r="C264" s="2">
        <v>69.900000000000006</v>
      </c>
      <c r="D264" s="2">
        <v>80.7</v>
      </c>
      <c r="E264" s="2">
        <v>49.5</v>
      </c>
      <c r="F264" s="2">
        <v>88.2</v>
      </c>
      <c r="G264" s="2" t="s">
        <v>26</v>
      </c>
      <c r="H264" t="str">
        <f t="shared" si="21"/>
        <v>Engineering</v>
      </c>
      <c r="I264" t="str">
        <f t="shared" si="25"/>
        <v>Good Standing</v>
      </c>
      <c r="J264" t="str">
        <f t="shared" si="22"/>
        <v>Good Standing</v>
      </c>
      <c r="K264" t="str">
        <f t="shared" si="23"/>
        <v>Good Standing</v>
      </c>
      <c r="L264" t="str">
        <f t="shared" si="24"/>
        <v>Engineering</v>
      </c>
    </row>
    <row r="265" spans="1:12">
      <c r="A265" s="2" t="s">
        <v>170</v>
      </c>
      <c r="B265" s="2" t="s">
        <v>91</v>
      </c>
      <c r="C265" s="2">
        <v>93.2</v>
      </c>
      <c r="D265" s="2">
        <v>70.8</v>
      </c>
      <c r="E265" s="2">
        <v>49.3</v>
      </c>
      <c r="F265" s="2">
        <v>45.8</v>
      </c>
      <c r="G265" s="2" t="s">
        <v>26</v>
      </c>
      <c r="H265" t="str">
        <f t="shared" si="21"/>
        <v>Unknown</v>
      </c>
      <c r="I265" t="str">
        <f t="shared" si="25"/>
        <v>Good Standing</v>
      </c>
      <c r="J265" t="str">
        <f t="shared" si="22"/>
        <v>Good Standing</v>
      </c>
      <c r="K265" t="str">
        <f t="shared" si="23"/>
        <v>Good Standing</v>
      </c>
      <c r="L265" t="str">
        <f t="shared" si="24"/>
        <v>Unknown</v>
      </c>
    </row>
    <row r="266" spans="1:12">
      <c r="A266" s="2" t="s">
        <v>181</v>
      </c>
      <c r="B266" s="2" t="s">
        <v>30</v>
      </c>
      <c r="C266" s="2">
        <v>78.3</v>
      </c>
      <c r="D266" s="2">
        <v>57</v>
      </c>
      <c r="E266" s="2">
        <v>49</v>
      </c>
      <c r="F266" s="2">
        <v>85.7</v>
      </c>
      <c r="G266" s="2" t="s">
        <v>22</v>
      </c>
      <c r="H266" t="str">
        <f t="shared" si="21"/>
        <v>Computer Science</v>
      </c>
      <c r="I266" t="str">
        <f t="shared" si="25"/>
        <v>Good Standing</v>
      </c>
      <c r="J266" t="str">
        <f t="shared" si="22"/>
        <v>At Risk</v>
      </c>
      <c r="K266" t="str">
        <f t="shared" si="23"/>
        <v>At Risk</v>
      </c>
      <c r="L266" t="str">
        <f t="shared" si="24"/>
        <v>Computer Science</v>
      </c>
    </row>
    <row r="267" spans="1:12">
      <c r="A267" s="2" t="s">
        <v>80</v>
      </c>
      <c r="B267" s="2" t="s">
        <v>24</v>
      </c>
      <c r="C267" s="2">
        <v>77.3</v>
      </c>
      <c r="D267" s="2">
        <v>67.5</v>
      </c>
      <c r="E267" s="2">
        <v>48.8</v>
      </c>
      <c r="F267" s="2">
        <v>66.599999999999994</v>
      </c>
      <c r="G267" s="2" t="s">
        <v>26</v>
      </c>
      <c r="H267" t="str">
        <f t="shared" si="21"/>
        <v>Business Administration</v>
      </c>
      <c r="I267" t="str">
        <f t="shared" si="25"/>
        <v>At Risk</v>
      </c>
      <c r="J267" t="str">
        <f t="shared" si="22"/>
        <v>Good Standing</v>
      </c>
      <c r="K267" t="str">
        <f t="shared" si="23"/>
        <v>Good Standing</v>
      </c>
      <c r="L267" t="str">
        <f t="shared" si="24"/>
        <v>Business Administration</v>
      </c>
    </row>
    <row r="268" spans="1:12">
      <c r="A268" s="2" t="s">
        <v>248</v>
      </c>
      <c r="B268" s="2" t="s">
        <v>24</v>
      </c>
      <c r="C268" s="2">
        <v>92</v>
      </c>
      <c r="D268" s="2">
        <v>52.1</v>
      </c>
      <c r="E268" s="2">
        <v>48.5</v>
      </c>
      <c r="F268" s="2">
        <v>99.8</v>
      </c>
      <c r="G268" s="2" t="s">
        <v>26</v>
      </c>
      <c r="H268" t="str">
        <f t="shared" si="21"/>
        <v>Business Administration</v>
      </c>
      <c r="I268" t="str">
        <f t="shared" si="25"/>
        <v>Good Standing</v>
      </c>
      <c r="J268" t="str">
        <f t="shared" si="22"/>
        <v>Good Standing</v>
      </c>
      <c r="K268" t="str">
        <f t="shared" si="23"/>
        <v>Good Standing</v>
      </c>
      <c r="L268" t="str">
        <f t="shared" si="24"/>
        <v>Business Administration</v>
      </c>
    </row>
    <row r="269" spans="1:12">
      <c r="A269" s="2" t="s">
        <v>191</v>
      </c>
      <c r="B269" s="2" t="s">
        <v>34</v>
      </c>
      <c r="C269" s="2">
        <v>77.900000000000006</v>
      </c>
      <c r="D269" s="2">
        <v>97.9</v>
      </c>
      <c r="E269" s="2">
        <v>48.1</v>
      </c>
      <c r="F269" s="2">
        <v>46</v>
      </c>
      <c r="G269" s="2" t="s">
        <v>26</v>
      </c>
      <c r="H269" t="str">
        <f t="shared" si="21"/>
        <v>Data Science</v>
      </c>
      <c r="I269" t="str">
        <f t="shared" si="25"/>
        <v>Good Standing</v>
      </c>
      <c r="J269" t="str">
        <f t="shared" si="22"/>
        <v>Good Standing</v>
      </c>
      <c r="K269" t="str">
        <f t="shared" si="23"/>
        <v>Good Standing</v>
      </c>
      <c r="L269" t="str">
        <f t="shared" si="24"/>
        <v>Data Science</v>
      </c>
    </row>
    <row r="270" spans="1:12">
      <c r="A270" s="2" t="s">
        <v>178</v>
      </c>
      <c r="B270" s="2" t="s">
        <v>46</v>
      </c>
      <c r="C270" s="2">
        <v>90.6</v>
      </c>
      <c r="D270" s="2">
        <v>60.9</v>
      </c>
      <c r="E270" s="2">
        <v>48</v>
      </c>
      <c r="F270" s="2">
        <v>39.200000000000003</v>
      </c>
      <c r="G270" s="2" t="s">
        <v>26</v>
      </c>
      <c r="H270" t="str">
        <f t="shared" si="21"/>
        <v>Economics</v>
      </c>
      <c r="I270" t="str">
        <f t="shared" si="25"/>
        <v>Good Standing</v>
      </c>
      <c r="J270" t="str">
        <f t="shared" si="22"/>
        <v>Good Standing</v>
      </c>
      <c r="K270" t="str">
        <f t="shared" si="23"/>
        <v>Good Standing</v>
      </c>
      <c r="L270" t="str">
        <f t="shared" si="24"/>
        <v>Economics</v>
      </c>
    </row>
    <row r="271" spans="1:12">
      <c r="A271" s="2" t="s">
        <v>137</v>
      </c>
      <c r="B271" s="2" t="s">
        <v>30</v>
      </c>
      <c r="C271" s="2">
        <v>45.5</v>
      </c>
      <c r="D271" s="2">
        <v>52.9</v>
      </c>
      <c r="E271" s="2">
        <v>47.8</v>
      </c>
      <c r="F271" s="2">
        <v>45.5</v>
      </c>
      <c r="G271" s="2" t="s">
        <v>26</v>
      </c>
      <c r="H271" t="str">
        <f t="shared" si="21"/>
        <v>Computer Science</v>
      </c>
      <c r="I271" t="str">
        <f t="shared" si="25"/>
        <v>Good Standing</v>
      </c>
      <c r="J271" t="str">
        <f t="shared" si="22"/>
        <v>Good Standing</v>
      </c>
      <c r="K271" t="str">
        <f t="shared" si="23"/>
        <v>Good Standing</v>
      </c>
      <c r="L271" t="str">
        <f t="shared" si="24"/>
        <v>Computer Science</v>
      </c>
    </row>
    <row r="272" spans="1:12">
      <c r="A272" s="2" t="s">
        <v>137</v>
      </c>
      <c r="B272" s="2" t="s">
        <v>30</v>
      </c>
      <c r="C272" s="2">
        <v>45.5</v>
      </c>
      <c r="D272" s="2">
        <v>-1</v>
      </c>
      <c r="E272" s="2">
        <v>47.8</v>
      </c>
      <c r="F272" s="2">
        <v>45.5</v>
      </c>
      <c r="G272" s="2" t="s">
        <v>26</v>
      </c>
      <c r="H272" t="str">
        <f t="shared" si="21"/>
        <v>Computer Science</v>
      </c>
      <c r="I272" t="str">
        <f t="shared" si="25"/>
        <v>At Risk</v>
      </c>
      <c r="J272" t="str">
        <f t="shared" si="22"/>
        <v>Good Standing</v>
      </c>
      <c r="K272" t="str">
        <f t="shared" si="23"/>
        <v>Good Standing</v>
      </c>
      <c r="L272" t="str">
        <f t="shared" si="24"/>
        <v>Computer Science</v>
      </c>
    </row>
    <row r="273" spans="1:12">
      <c r="A273" s="2" t="s">
        <v>302</v>
      </c>
      <c r="B273" s="2" t="s">
        <v>21</v>
      </c>
      <c r="C273" s="2">
        <v>62.8</v>
      </c>
      <c r="D273" s="2">
        <v>82.1</v>
      </c>
      <c r="E273" s="2">
        <v>47.3</v>
      </c>
      <c r="F273" s="2">
        <v>68.599999999999994</v>
      </c>
      <c r="G273" s="2" t="s">
        <v>22</v>
      </c>
      <c r="H273" t="str">
        <f t="shared" si="21"/>
        <v>Public Health</v>
      </c>
      <c r="I273" t="str">
        <f t="shared" si="25"/>
        <v>Good Standing</v>
      </c>
      <c r="J273" t="str">
        <f t="shared" si="22"/>
        <v>At Risk</v>
      </c>
      <c r="K273" t="str">
        <f t="shared" si="23"/>
        <v>At Risk</v>
      </c>
      <c r="L273" t="str">
        <f t="shared" si="24"/>
        <v>Public Health</v>
      </c>
    </row>
    <row r="274" spans="1:12">
      <c r="A274" s="2" t="s">
        <v>210</v>
      </c>
      <c r="B274" s="2" t="s">
        <v>24</v>
      </c>
      <c r="C274" s="2">
        <v>62.9</v>
      </c>
      <c r="D274" s="2">
        <v>64.2</v>
      </c>
      <c r="E274" s="2">
        <v>46.4</v>
      </c>
      <c r="F274" s="2">
        <v>100</v>
      </c>
      <c r="G274" s="2" t="s">
        <v>26</v>
      </c>
      <c r="H274" t="str">
        <f t="shared" si="21"/>
        <v>Business Administration</v>
      </c>
      <c r="I274" t="str">
        <f t="shared" si="25"/>
        <v>At Risk</v>
      </c>
      <c r="J274" t="str">
        <f t="shared" si="22"/>
        <v>Good Standing</v>
      </c>
      <c r="K274" t="str">
        <f t="shared" si="23"/>
        <v>Good Standing</v>
      </c>
      <c r="L274" t="str">
        <f t="shared" si="24"/>
        <v>Business Administration</v>
      </c>
    </row>
    <row r="275" spans="1:12">
      <c r="A275" s="2" t="s">
        <v>133</v>
      </c>
      <c r="B275" s="2" t="s">
        <v>21</v>
      </c>
      <c r="C275" s="2">
        <v>92.4</v>
      </c>
      <c r="D275" s="2">
        <v>50.8</v>
      </c>
      <c r="E275" s="2">
        <v>45.7</v>
      </c>
      <c r="F275" s="2">
        <v>77.2</v>
      </c>
      <c r="G275" s="2" t="s">
        <v>26</v>
      </c>
      <c r="H275" t="str">
        <f t="shared" si="21"/>
        <v>Public Health</v>
      </c>
      <c r="I275" t="str">
        <f t="shared" si="25"/>
        <v>At Risk</v>
      </c>
      <c r="J275" t="str">
        <f t="shared" si="22"/>
        <v>Good Standing</v>
      </c>
      <c r="K275" t="str">
        <f t="shared" si="23"/>
        <v>Good Standing</v>
      </c>
      <c r="L275" t="str">
        <f t="shared" si="24"/>
        <v>Public Health</v>
      </c>
    </row>
    <row r="276" spans="1:12">
      <c r="A276" s="2" t="s">
        <v>95</v>
      </c>
      <c r="B276" s="2" t="s">
        <v>24</v>
      </c>
      <c r="C276" s="2">
        <v>96.6</v>
      </c>
      <c r="D276" s="2">
        <v>68.900000000000006</v>
      </c>
      <c r="E276" s="2">
        <v>45.6</v>
      </c>
      <c r="F276" s="2">
        <v>85</v>
      </c>
      <c r="G276" s="2" t="s">
        <v>26</v>
      </c>
      <c r="H276" t="str">
        <f t="shared" si="21"/>
        <v>Business Administration</v>
      </c>
      <c r="I276" t="str">
        <f t="shared" si="25"/>
        <v>Unknown</v>
      </c>
      <c r="J276" t="str">
        <f t="shared" si="22"/>
        <v>Good Standing</v>
      </c>
      <c r="K276" t="str">
        <f t="shared" si="23"/>
        <v>Good Standing</v>
      </c>
      <c r="L276" t="str">
        <f t="shared" si="24"/>
        <v>Business Administration</v>
      </c>
    </row>
    <row r="277" spans="1:12">
      <c r="A277" s="2" t="s">
        <v>95</v>
      </c>
      <c r="B277" s="2" t="s">
        <v>24</v>
      </c>
      <c r="C277" s="2">
        <v>96.6</v>
      </c>
      <c r="D277" s="2">
        <v>69.8</v>
      </c>
      <c r="E277" s="2">
        <v>45.6</v>
      </c>
      <c r="F277" s="2">
        <v>85</v>
      </c>
      <c r="G277" s="2" t="s">
        <v>26</v>
      </c>
      <c r="H277" t="str">
        <f t="shared" si="21"/>
        <v>Business Administration</v>
      </c>
      <c r="I277" t="str">
        <f t="shared" si="25"/>
        <v>Good Standing</v>
      </c>
      <c r="J277" t="str">
        <f t="shared" si="22"/>
        <v>Good Standing</v>
      </c>
      <c r="K277" t="str">
        <f t="shared" si="23"/>
        <v>Good Standing</v>
      </c>
      <c r="L277" t="str">
        <f t="shared" si="24"/>
        <v>Business Administration</v>
      </c>
    </row>
    <row r="278" spans="1:12">
      <c r="A278" s="2" t="s">
        <v>317</v>
      </c>
      <c r="B278" s="2" t="s">
        <v>34</v>
      </c>
      <c r="C278" s="2">
        <v>76.099999999999994</v>
      </c>
      <c r="D278" s="2">
        <v>49</v>
      </c>
      <c r="E278" s="2">
        <v>44.8</v>
      </c>
      <c r="F278" s="2">
        <v>42</v>
      </c>
      <c r="G278" s="2" t="s">
        <v>26</v>
      </c>
      <c r="H278" t="str">
        <f t="shared" si="21"/>
        <v>Data Science</v>
      </c>
      <c r="I278" t="str">
        <f t="shared" si="25"/>
        <v>Good Standing</v>
      </c>
      <c r="J278" t="str">
        <f t="shared" si="22"/>
        <v>Good Standing</v>
      </c>
      <c r="K278" t="str">
        <f t="shared" si="23"/>
        <v>Good Standing</v>
      </c>
      <c r="L278" t="str">
        <f t="shared" si="24"/>
        <v>Data Science</v>
      </c>
    </row>
    <row r="279" spans="1:12">
      <c r="A279" s="2" t="s">
        <v>233</v>
      </c>
      <c r="B279" s="2" t="s">
        <v>46</v>
      </c>
      <c r="C279" s="2">
        <v>75.599999999999994</v>
      </c>
      <c r="D279" s="2">
        <v>30.3</v>
      </c>
      <c r="E279" s="2">
        <v>44.7</v>
      </c>
      <c r="F279" s="2">
        <v>70.599999999999994</v>
      </c>
      <c r="G279" s="2" t="s">
        <v>26</v>
      </c>
      <c r="H279" t="str">
        <f t="shared" si="21"/>
        <v>Economics</v>
      </c>
      <c r="I279" t="str">
        <f t="shared" si="25"/>
        <v>At Risk</v>
      </c>
      <c r="J279" t="str">
        <f t="shared" si="22"/>
        <v>Good Standing</v>
      </c>
      <c r="K279" t="str">
        <f t="shared" si="23"/>
        <v>Good Standing</v>
      </c>
      <c r="L279" t="str">
        <f t="shared" si="24"/>
        <v>Economics</v>
      </c>
    </row>
    <row r="280" spans="1:12">
      <c r="A280" s="2" t="s">
        <v>244</v>
      </c>
      <c r="B280" s="2" t="s">
        <v>34</v>
      </c>
      <c r="C280" s="2">
        <v>79.099999999999994</v>
      </c>
      <c r="D280" s="2">
        <v>45.6</v>
      </c>
      <c r="E280" s="2">
        <v>44.6</v>
      </c>
      <c r="F280" s="2">
        <v>76.5</v>
      </c>
      <c r="G280" s="2" t="s">
        <v>26</v>
      </c>
      <c r="H280" t="str">
        <f t="shared" si="21"/>
        <v>Data Science</v>
      </c>
      <c r="I280" t="str">
        <f t="shared" si="25"/>
        <v>Good Standing</v>
      </c>
      <c r="J280" t="str">
        <f t="shared" si="22"/>
        <v>Good Standing</v>
      </c>
      <c r="K280" t="str">
        <f t="shared" si="23"/>
        <v>Good Standing</v>
      </c>
      <c r="L280" t="str">
        <f t="shared" si="24"/>
        <v>Data Science</v>
      </c>
    </row>
    <row r="281" spans="1:12">
      <c r="A281" s="2" t="s">
        <v>69</v>
      </c>
      <c r="B281" s="2" t="s">
        <v>30</v>
      </c>
      <c r="C281" s="2">
        <v>83.8</v>
      </c>
      <c r="D281" s="2">
        <v>72.2</v>
      </c>
      <c r="E281" s="2">
        <v>44.1</v>
      </c>
      <c r="F281" s="2">
        <v>71.543880000000001</v>
      </c>
      <c r="G281" s="2" t="s">
        <v>91</v>
      </c>
      <c r="H281" t="str">
        <f t="shared" si="21"/>
        <v>Computer Science</v>
      </c>
      <c r="I281" t="str">
        <f t="shared" si="25"/>
        <v>Good Standing</v>
      </c>
      <c r="J281" t="str">
        <f t="shared" si="22"/>
        <v>Unknown</v>
      </c>
      <c r="K281" t="str">
        <f t="shared" si="23"/>
        <v>Unknown</v>
      </c>
      <c r="L281" t="str">
        <f t="shared" si="24"/>
        <v>Computer Science</v>
      </c>
    </row>
    <row r="282" spans="1:12">
      <c r="A282" s="2" t="s">
        <v>83</v>
      </c>
      <c r="B282" s="2" t="s">
        <v>30</v>
      </c>
      <c r="C282" s="2">
        <v>89.2</v>
      </c>
      <c r="D282" s="2">
        <v>65.2</v>
      </c>
      <c r="E282" s="2">
        <v>43.5</v>
      </c>
      <c r="F282" s="2">
        <v>71.543880000000001</v>
      </c>
      <c r="G282" s="2" t="s">
        <v>26</v>
      </c>
      <c r="H282" t="str">
        <f t="shared" si="21"/>
        <v>Computer Science</v>
      </c>
      <c r="I282" t="str">
        <f t="shared" si="25"/>
        <v>Good Standing</v>
      </c>
      <c r="J282" t="str">
        <f t="shared" si="22"/>
        <v>Good Standing</v>
      </c>
      <c r="K282" t="str">
        <f t="shared" si="23"/>
        <v>Good Standing</v>
      </c>
      <c r="L282" t="str">
        <f t="shared" si="24"/>
        <v>Computer Science</v>
      </c>
    </row>
    <row r="283" spans="1:12">
      <c r="A283" s="2" t="s">
        <v>157</v>
      </c>
      <c r="B283" s="2" t="s">
        <v>30</v>
      </c>
      <c r="C283" s="2">
        <v>81.400000000000006</v>
      </c>
      <c r="D283" s="2">
        <v>46.5</v>
      </c>
      <c r="E283" s="2">
        <v>43.4</v>
      </c>
      <c r="F283" s="2">
        <v>62.6</v>
      </c>
      <c r="G283" s="2" t="s">
        <v>91</v>
      </c>
      <c r="H283" t="str">
        <f t="shared" si="21"/>
        <v>Computer Science</v>
      </c>
      <c r="I283" t="str">
        <f t="shared" si="25"/>
        <v>Good Standing</v>
      </c>
      <c r="J283" t="str">
        <f t="shared" si="22"/>
        <v>Unknown</v>
      </c>
      <c r="K283" t="str">
        <f t="shared" si="23"/>
        <v>Unknown</v>
      </c>
      <c r="L283" t="str">
        <f t="shared" si="24"/>
        <v>Computer Science</v>
      </c>
    </row>
    <row r="284" spans="1:12">
      <c r="A284" s="2" t="s">
        <v>262</v>
      </c>
      <c r="B284" s="2" t="s">
        <v>34</v>
      </c>
      <c r="C284" s="2">
        <v>79.5</v>
      </c>
      <c r="D284" s="2">
        <v>82</v>
      </c>
      <c r="E284" s="2">
        <v>43.2</v>
      </c>
      <c r="F284" s="2">
        <v>71.543880000000001</v>
      </c>
      <c r="G284" s="2" t="s">
        <v>26</v>
      </c>
      <c r="H284" t="str">
        <f t="shared" si="21"/>
        <v>Data Science</v>
      </c>
      <c r="I284" t="str">
        <f t="shared" si="25"/>
        <v>Good Standing</v>
      </c>
      <c r="J284" t="str">
        <f t="shared" si="22"/>
        <v>Good Standing</v>
      </c>
      <c r="K284" t="str">
        <f t="shared" si="23"/>
        <v>Good Standing</v>
      </c>
      <c r="L284" t="str">
        <f t="shared" si="24"/>
        <v>Data Science</v>
      </c>
    </row>
    <row r="285" spans="1:12">
      <c r="A285" s="2" t="s">
        <v>71</v>
      </c>
      <c r="B285" s="2" t="s">
        <v>46</v>
      </c>
      <c r="C285" s="2">
        <v>97.7</v>
      </c>
      <c r="D285" s="2">
        <v>82.3</v>
      </c>
      <c r="E285" s="2">
        <v>42.3</v>
      </c>
      <c r="F285" s="2">
        <v>78.5</v>
      </c>
      <c r="G285" s="2" t="s">
        <v>26</v>
      </c>
      <c r="H285" t="str">
        <f t="shared" si="21"/>
        <v>Economics</v>
      </c>
      <c r="I285" t="str">
        <f t="shared" si="25"/>
        <v>Good Standing</v>
      </c>
      <c r="J285" t="str">
        <f t="shared" si="22"/>
        <v>Good Standing</v>
      </c>
      <c r="K285" t="str">
        <f t="shared" si="23"/>
        <v>Good Standing</v>
      </c>
      <c r="L285" t="str">
        <f t="shared" si="24"/>
        <v>Economics</v>
      </c>
    </row>
    <row r="286" spans="1:12">
      <c r="A286" s="2" t="s">
        <v>201</v>
      </c>
      <c r="B286" s="2" t="s">
        <v>46</v>
      </c>
      <c r="C286" s="2">
        <v>71.900000000000006</v>
      </c>
      <c r="D286" s="2">
        <v>56.3</v>
      </c>
      <c r="E286" s="2">
        <v>41.9</v>
      </c>
      <c r="F286" s="2">
        <v>75.599999999999994</v>
      </c>
      <c r="G286" s="2" t="s">
        <v>26</v>
      </c>
      <c r="H286" t="str">
        <f t="shared" si="21"/>
        <v>Economics</v>
      </c>
      <c r="I286" t="str">
        <f t="shared" si="25"/>
        <v>Good Standing</v>
      </c>
      <c r="J286" t="str">
        <f t="shared" si="22"/>
        <v>Good Standing</v>
      </c>
      <c r="K286" t="str">
        <f t="shared" si="23"/>
        <v>Good Standing</v>
      </c>
      <c r="L286" t="str">
        <f t="shared" si="24"/>
        <v>Economics</v>
      </c>
    </row>
    <row r="287" spans="1:12">
      <c r="A287" s="2" t="s">
        <v>150</v>
      </c>
      <c r="B287" s="2" t="s">
        <v>21</v>
      </c>
      <c r="C287" s="2">
        <v>76.5</v>
      </c>
      <c r="D287" s="2">
        <v>63.4</v>
      </c>
      <c r="E287" s="2">
        <v>40.4</v>
      </c>
      <c r="F287" s="2">
        <v>51.8</v>
      </c>
      <c r="G287" s="2" t="s">
        <v>22</v>
      </c>
      <c r="H287" t="str">
        <f t="shared" si="21"/>
        <v>Public Health</v>
      </c>
      <c r="I287" t="str">
        <f t="shared" si="25"/>
        <v>Good Standing</v>
      </c>
      <c r="J287" t="str">
        <f t="shared" si="22"/>
        <v>At Risk</v>
      </c>
      <c r="K287" t="str">
        <f t="shared" si="23"/>
        <v>At Risk</v>
      </c>
      <c r="L287" t="str">
        <f t="shared" si="24"/>
        <v>Public Health</v>
      </c>
    </row>
    <row r="288" spans="1:12">
      <c r="A288" s="2" t="s">
        <v>317</v>
      </c>
      <c r="B288" s="2" t="s">
        <v>24</v>
      </c>
      <c r="C288" s="2">
        <v>66.8</v>
      </c>
      <c r="D288" s="2">
        <v>79.900000000000006</v>
      </c>
      <c r="E288" s="2">
        <v>39.6</v>
      </c>
      <c r="F288" s="2">
        <v>37.6</v>
      </c>
      <c r="G288" s="2" t="s">
        <v>26</v>
      </c>
      <c r="H288" t="str">
        <f t="shared" si="21"/>
        <v>Business Administration</v>
      </c>
      <c r="I288" t="str">
        <f t="shared" si="25"/>
        <v>Good Standing</v>
      </c>
      <c r="J288" t="str">
        <f t="shared" si="22"/>
        <v>Good Standing</v>
      </c>
      <c r="K288" t="str">
        <f t="shared" si="23"/>
        <v>Good Standing</v>
      </c>
      <c r="L288" t="str">
        <f t="shared" si="24"/>
        <v>Business Administration</v>
      </c>
    </row>
    <row r="289" spans="1:12">
      <c r="A289" s="2" t="s">
        <v>297</v>
      </c>
      <c r="B289" s="2" t="s">
        <v>28</v>
      </c>
      <c r="C289" s="2">
        <v>85.2</v>
      </c>
      <c r="D289" s="2">
        <v>76.099999999999994</v>
      </c>
      <c r="E289" s="2">
        <v>38.9</v>
      </c>
      <c r="F289" s="2">
        <v>94.1</v>
      </c>
      <c r="G289" s="2" t="s">
        <v>26</v>
      </c>
      <c r="H289" t="str">
        <f t="shared" si="21"/>
        <v>Engineering</v>
      </c>
      <c r="I289" t="str">
        <f t="shared" si="25"/>
        <v>Good Standing</v>
      </c>
      <c r="J289" t="str">
        <f t="shared" si="22"/>
        <v>Good Standing</v>
      </c>
      <c r="K289" t="str">
        <f t="shared" si="23"/>
        <v>Good Standing</v>
      </c>
      <c r="L289" t="str">
        <f t="shared" si="24"/>
        <v>Engineering</v>
      </c>
    </row>
    <row r="290" spans="1:12">
      <c r="A290" s="2" t="s">
        <v>226</v>
      </c>
      <c r="B290" s="2" t="s">
        <v>30</v>
      </c>
      <c r="C290" s="2">
        <v>68.900000000000006</v>
      </c>
      <c r="D290" s="2">
        <v>85.3</v>
      </c>
      <c r="E290" s="2">
        <v>38.6</v>
      </c>
      <c r="F290" s="2">
        <v>71</v>
      </c>
      <c r="G290" s="2" t="s">
        <v>26</v>
      </c>
      <c r="H290" t="str">
        <f t="shared" si="21"/>
        <v>Computer Science</v>
      </c>
      <c r="I290" t="str">
        <f t="shared" si="25"/>
        <v>At Risk</v>
      </c>
      <c r="J290" t="str">
        <f t="shared" si="22"/>
        <v>Good Standing</v>
      </c>
      <c r="K290" t="str">
        <f t="shared" si="23"/>
        <v>Good Standing</v>
      </c>
      <c r="L290" t="str">
        <f t="shared" si="24"/>
        <v>Computer Science</v>
      </c>
    </row>
    <row r="291" spans="1:12">
      <c r="A291" s="2" t="s">
        <v>87</v>
      </c>
      <c r="B291" s="2" t="s">
        <v>24</v>
      </c>
      <c r="C291" s="2">
        <v>84.4</v>
      </c>
      <c r="D291" s="2">
        <v>85.3</v>
      </c>
      <c r="E291" s="2">
        <v>33.5</v>
      </c>
      <c r="F291" s="2">
        <v>100</v>
      </c>
      <c r="G291" s="2" t="s">
        <v>26</v>
      </c>
      <c r="H291" t="str">
        <f t="shared" si="21"/>
        <v>Business Administration</v>
      </c>
      <c r="I291" t="str">
        <f t="shared" si="25"/>
        <v>Good Standing</v>
      </c>
      <c r="J291" t="str">
        <f t="shared" si="22"/>
        <v>Good Standing</v>
      </c>
      <c r="K291" t="str">
        <f t="shared" si="23"/>
        <v>Good Standing</v>
      </c>
      <c r="L291" t="str">
        <f t="shared" si="24"/>
        <v>Business Administration</v>
      </c>
    </row>
    <row r="292" spans="1:12">
      <c r="A292" s="2" t="s">
        <v>105</v>
      </c>
      <c r="B292" s="2" t="s">
        <v>30</v>
      </c>
      <c r="C292" s="2">
        <v>82.5</v>
      </c>
      <c r="D292" s="2">
        <v>60.3</v>
      </c>
      <c r="E292" s="2">
        <v>33.200000000000003</v>
      </c>
      <c r="F292" s="2">
        <v>85.2</v>
      </c>
      <c r="G292" s="2" t="s">
        <v>26</v>
      </c>
      <c r="H292" t="str">
        <f t="shared" si="21"/>
        <v>Computer Science</v>
      </c>
      <c r="I292" t="str">
        <f t="shared" si="25"/>
        <v>Good Standing</v>
      </c>
      <c r="J292" t="str">
        <f t="shared" si="22"/>
        <v>Good Standing</v>
      </c>
      <c r="K292" t="str">
        <f t="shared" si="23"/>
        <v>Good Standing</v>
      </c>
      <c r="L292" t="str">
        <f t="shared" si="24"/>
        <v>Computer Science</v>
      </c>
    </row>
    <row r="293" spans="1:12">
      <c r="A293" s="2" t="s">
        <v>93</v>
      </c>
      <c r="B293" s="2" t="s">
        <v>34</v>
      </c>
      <c r="C293" s="2">
        <v>84.6</v>
      </c>
      <c r="D293" s="2">
        <v>80.5</v>
      </c>
      <c r="E293" s="2">
        <v>32.9</v>
      </c>
      <c r="F293" s="2">
        <v>36.799999999999997</v>
      </c>
      <c r="G293" s="2" t="s">
        <v>26</v>
      </c>
      <c r="H293" t="str">
        <f t="shared" si="21"/>
        <v>Data Science</v>
      </c>
      <c r="I293" t="str">
        <f t="shared" si="25"/>
        <v>Good Standing</v>
      </c>
      <c r="J293" t="str">
        <f t="shared" si="22"/>
        <v>Good Standing</v>
      </c>
      <c r="K293" t="str">
        <f t="shared" si="23"/>
        <v>Good Standing</v>
      </c>
      <c r="L293" t="str">
        <f t="shared" si="24"/>
        <v>Data Science</v>
      </c>
    </row>
    <row r="294" spans="1:12">
      <c r="A294" s="2" t="s">
        <v>317</v>
      </c>
      <c r="B294" s="2" t="s">
        <v>34</v>
      </c>
      <c r="C294" s="2">
        <v>82</v>
      </c>
      <c r="D294" s="2">
        <v>68.8</v>
      </c>
      <c r="E294" s="2">
        <v>31.2</v>
      </c>
      <c r="F294" s="2">
        <v>85.3</v>
      </c>
      <c r="G294" s="2" t="s">
        <v>22</v>
      </c>
      <c r="H294" t="str">
        <f t="shared" si="21"/>
        <v>Data Science</v>
      </c>
      <c r="I294" t="str">
        <f t="shared" si="25"/>
        <v>At Risk</v>
      </c>
      <c r="J294" t="str">
        <f t="shared" si="22"/>
        <v>At Risk</v>
      </c>
      <c r="K294" t="str">
        <f t="shared" si="23"/>
        <v>At Risk</v>
      </c>
      <c r="L294" t="str">
        <f t="shared" si="24"/>
        <v>Data Science</v>
      </c>
    </row>
    <row r="295" spans="1:12">
      <c r="A295" s="2" t="s">
        <v>138</v>
      </c>
      <c r="B295" s="2" t="s">
        <v>46</v>
      </c>
      <c r="C295" s="2">
        <v>85.5</v>
      </c>
      <c r="D295" s="2">
        <v>64.599999999999994</v>
      </c>
      <c r="E295" s="2">
        <v>29.6</v>
      </c>
      <c r="F295" s="2">
        <v>89.8</v>
      </c>
      <c r="G295" s="2" t="s">
        <v>26</v>
      </c>
      <c r="H295" t="str">
        <f t="shared" si="21"/>
        <v>Economics</v>
      </c>
      <c r="I295" t="str">
        <f t="shared" si="25"/>
        <v>Unknown</v>
      </c>
      <c r="J295" t="str">
        <f t="shared" si="22"/>
        <v>Good Standing</v>
      </c>
      <c r="K295" t="str">
        <f t="shared" si="23"/>
        <v>Good Standing</v>
      </c>
      <c r="L295" t="str">
        <f t="shared" si="24"/>
        <v>Economics</v>
      </c>
    </row>
    <row r="296" spans="1:12">
      <c r="A296" s="2" t="s">
        <v>282</v>
      </c>
      <c r="B296" s="2" t="s">
        <v>24</v>
      </c>
      <c r="C296" s="2">
        <v>82.6</v>
      </c>
      <c r="D296" s="2">
        <v>57.2</v>
      </c>
      <c r="E296" s="2">
        <v>22.2</v>
      </c>
      <c r="F296" s="2">
        <v>60.4</v>
      </c>
      <c r="G296" s="2" t="s">
        <v>26</v>
      </c>
      <c r="H296" t="str">
        <f t="shared" si="21"/>
        <v>Business Administration</v>
      </c>
      <c r="I296" t="str">
        <f t="shared" si="25"/>
        <v>Good Standing</v>
      </c>
      <c r="J296" t="str">
        <f t="shared" si="22"/>
        <v>Good Standing</v>
      </c>
      <c r="K296" t="str">
        <f t="shared" si="23"/>
        <v>Good Standing</v>
      </c>
      <c r="L296" t="str">
        <f t="shared" si="24"/>
        <v>Business Administration</v>
      </c>
    </row>
    <row r="297" spans="1:12">
      <c r="A297" s="2" t="s">
        <v>283</v>
      </c>
      <c r="B297" s="2" t="s">
        <v>28</v>
      </c>
      <c r="C297" s="2">
        <v>83.8</v>
      </c>
      <c r="D297" s="2">
        <v>79.2</v>
      </c>
      <c r="E297" s="2">
        <v>11.4</v>
      </c>
      <c r="F297" s="2">
        <v>49.5</v>
      </c>
      <c r="G297" s="2" t="s">
        <v>26</v>
      </c>
      <c r="H297" t="str">
        <f t="shared" si="21"/>
        <v>Engineering</v>
      </c>
      <c r="I297" t="str">
        <f t="shared" si="25"/>
        <v>Good Standing</v>
      </c>
      <c r="J297" t="str">
        <f t="shared" si="22"/>
        <v>Good Standing</v>
      </c>
      <c r="K297" t="str">
        <f t="shared" si="23"/>
        <v>Good Standing</v>
      </c>
      <c r="L297" t="str">
        <f t="shared" si="24"/>
        <v>Engineering</v>
      </c>
    </row>
    <row r="298" spans="1:12">
      <c r="A298" s="2" t="s">
        <v>49</v>
      </c>
      <c r="B298" s="2" t="s">
        <v>30</v>
      </c>
      <c r="C298" s="2">
        <v>83.9</v>
      </c>
      <c r="D298" s="2">
        <v>96.6</v>
      </c>
      <c r="E298" s="2">
        <v>-2</v>
      </c>
      <c r="F298" s="2">
        <v>91.8</v>
      </c>
      <c r="G298" s="2" t="s">
        <v>26</v>
      </c>
      <c r="H298" t="str">
        <f t="shared" si="21"/>
        <v>Computer Science</v>
      </c>
      <c r="I298" t="str">
        <f t="shared" si="25"/>
        <v>Good Standing</v>
      </c>
      <c r="J298" t="str">
        <f t="shared" si="22"/>
        <v>Good Standing</v>
      </c>
      <c r="K298" t="str">
        <f t="shared" si="23"/>
        <v>Good Standing</v>
      </c>
      <c r="L298" t="str">
        <f t="shared" si="24"/>
        <v>Computer Science</v>
      </c>
    </row>
    <row r="302" spans="1:12">
      <c r="C302">
        <f>COUNTA(A2:A298)</f>
        <v>297</v>
      </c>
    </row>
  </sheetData>
  <phoneticPr fontId="1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A0C97-431F-4510-B701-895F55511B2D}">
  <sheetPr>
    <tabColor rgb="FFFFFF00"/>
  </sheetPr>
  <dimension ref="A1:S85"/>
  <sheetViews>
    <sheetView topLeftCell="A12" zoomScale="94" workbookViewId="0">
      <selection activeCell="B25" sqref="B25"/>
    </sheetView>
  </sheetViews>
  <sheetFormatPr defaultRowHeight="14.5"/>
  <cols>
    <col min="1" max="1" width="31.54296875" bestFit="1" customWidth="1"/>
    <col min="2" max="2" width="23" customWidth="1"/>
    <col min="3" max="3" width="14.26953125" customWidth="1"/>
    <col min="4" max="4" width="9" customWidth="1"/>
    <col min="5" max="5" width="5.1796875" customWidth="1"/>
    <col min="6" max="6" width="7.453125" customWidth="1"/>
    <col min="7" max="7" width="12.1796875" customWidth="1"/>
  </cols>
  <sheetData>
    <row r="1" spans="1:19" ht="26">
      <c r="A1" s="31" t="s">
        <v>318</v>
      </c>
      <c r="B1" s="31"/>
      <c r="C1" s="31"/>
      <c r="D1" s="31"/>
      <c r="E1" s="31"/>
      <c r="F1" s="31"/>
      <c r="G1" s="31"/>
      <c r="H1" s="31"/>
      <c r="I1" s="31"/>
      <c r="J1" s="31"/>
      <c r="K1" s="31"/>
      <c r="L1" s="31"/>
      <c r="M1" s="31"/>
      <c r="N1" s="31"/>
      <c r="O1" s="31"/>
      <c r="P1" s="31"/>
      <c r="Q1" s="31"/>
      <c r="R1" s="31"/>
      <c r="S1" s="31"/>
    </row>
    <row r="3" spans="1:19" ht="17">
      <c r="A3" s="32" t="s">
        <v>319</v>
      </c>
      <c r="B3" s="33"/>
      <c r="C3" s="33"/>
      <c r="D3" s="33"/>
      <c r="E3" s="33"/>
    </row>
    <row r="4" spans="1:19">
      <c r="A4" s="1" t="s">
        <v>320</v>
      </c>
      <c r="B4" s="7">
        <v>297</v>
      </c>
      <c r="D4" s="7"/>
    </row>
    <row r="5" spans="1:19">
      <c r="A5" s="1" t="s">
        <v>321</v>
      </c>
      <c r="B5" s="7" cm="1">
        <f t="array" ref="B5">COUNTA(_xlfn.UNIQUE(Deeqo1[],A2:A298))</f>
        <v>297</v>
      </c>
      <c r="D5" s="7"/>
    </row>
    <row r="6" spans="1:19">
      <c r="A6" s="1" t="s">
        <v>322</v>
      </c>
      <c r="B6" s="8">
        <f>AVERAGE(Deeqo1[],C2:C298)</f>
        <v>72.461453355481623</v>
      </c>
      <c r="D6" s="8"/>
    </row>
    <row r="7" spans="1:19">
      <c r="A7" s="1" t="s">
        <v>323</v>
      </c>
      <c r="B7" s="8">
        <f>AVERAGE(Deeqo1[],D2:D298)</f>
        <v>72.336868637873678</v>
      </c>
      <c r="D7" s="8"/>
    </row>
    <row r="8" spans="1:19">
      <c r="A8" s="1" t="s">
        <v>324</v>
      </c>
      <c r="B8" s="8">
        <f>AVERAGE(Deeqo1[],E2:E298)</f>
        <v>72.230805514950063</v>
      </c>
      <c r="D8" s="8"/>
    </row>
    <row r="9" spans="1:19">
      <c r="A9" s="1" t="s">
        <v>325</v>
      </c>
      <c r="B9" s="8">
        <f>AVERAGE([1]Clean_Data!F5:F301)</f>
        <v>71.247101449275348</v>
      </c>
      <c r="D9" s="8"/>
    </row>
    <row r="10" spans="1:19">
      <c r="A10" s="1" t="s">
        <v>326</v>
      </c>
      <c r="B10" s="8">
        <f>MIN(Deeqo1[],F2:F298)</f>
        <v>-10</v>
      </c>
      <c r="D10" s="8"/>
    </row>
    <row r="11" spans="1:19">
      <c r="A11" s="1" t="s">
        <v>327</v>
      </c>
      <c r="B11" s="8">
        <f>MAX(Deeqo1[],F2:F298)</f>
        <v>117</v>
      </c>
      <c r="D11" s="8"/>
    </row>
    <row r="14" spans="1:19" ht="17">
      <c r="A14" s="32" t="s">
        <v>328</v>
      </c>
      <c r="B14" s="33"/>
      <c r="C14" s="33"/>
      <c r="D14" s="33"/>
      <c r="E14" s="33"/>
    </row>
    <row r="15" spans="1:19">
      <c r="A15" s="9" t="s">
        <v>329</v>
      </c>
      <c r="B15" s="2">
        <f>COUNTIF(Deeqo1[Academic Status],"Good Standing")</f>
        <v>220</v>
      </c>
    </row>
    <row r="16" spans="1:19">
      <c r="A16" s="9" t="s">
        <v>330</v>
      </c>
      <c r="B16" s="2">
        <f>COUNTIF(Deeqo1[Academic Status],"At Risk")</f>
        <v>55</v>
      </c>
    </row>
    <row r="17" spans="1:10">
      <c r="A17" s="9" t="s">
        <v>331</v>
      </c>
      <c r="B17" s="2">
        <f>COUNTIF(Deeqo1[Academic Status],"Unknown")</f>
        <v>22</v>
      </c>
    </row>
    <row r="18" spans="1:10">
      <c r="A18" s="9" t="s">
        <v>332</v>
      </c>
      <c r="B18" s="8">
        <f>AVERAGEIF(Deeqo1[Academic_Status],"Good Standing",Deeqo1[Final_Score])</f>
        <v>71.318786849315075</v>
      </c>
    </row>
    <row r="19" spans="1:10">
      <c r="A19" s="9" t="s">
        <v>333</v>
      </c>
      <c r="B19" s="8">
        <f>AVERAGEIF(Deeqo1[Academic_Status],"At Risk",Deeqo1[Final_Score])</f>
        <v>70.774412830188695</v>
      </c>
    </row>
    <row r="20" spans="1:10">
      <c r="A20" s="9" t="s">
        <v>334</v>
      </c>
      <c r="B20" s="2">
        <f>COUNTIF(Deeqo1[Final_Score],"&gt;=70")</f>
        <v>169</v>
      </c>
    </row>
    <row r="22" spans="1:10" ht="17">
      <c r="A22" s="32" t="s">
        <v>335</v>
      </c>
      <c r="B22" s="33"/>
      <c r="C22" s="33"/>
      <c r="D22" s="33"/>
      <c r="E22" s="33"/>
    </row>
    <row r="23" spans="1:10">
      <c r="A23" s="9" t="s">
        <v>336</v>
      </c>
      <c r="B23" s="2" t="str">
        <f>IF(OR(D2&lt;45,F2&lt;60),"At Risk",IF(D2&gt;=45,"High Score","High Attendance"))</f>
        <v>At Risk</v>
      </c>
      <c r="J23" s="2"/>
    </row>
    <row r="24" spans="1:10">
      <c r="A24" s="9" t="s">
        <v>337</v>
      </c>
      <c r="B24" t="str">
        <f>IF(OR(D2&gt;=75,F2&gt;=80),"High Score/Attendance","Low")</f>
        <v>Low</v>
      </c>
    </row>
    <row r="25" spans="1:10">
      <c r="A25" s="9"/>
    </row>
    <row r="28" spans="1:10" ht="17">
      <c r="A28" s="32" t="s">
        <v>338</v>
      </c>
      <c r="B28" s="33"/>
      <c r="C28" s="33"/>
      <c r="D28" s="33"/>
      <c r="E28" s="33"/>
      <c r="F28" s="33"/>
    </row>
    <row r="29" spans="1:10">
      <c r="A29" s="6" t="s">
        <v>339</v>
      </c>
      <c r="B29" s="6" t="s">
        <v>340</v>
      </c>
      <c r="C29" s="6" t="s">
        <v>341</v>
      </c>
      <c r="D29" s="6" t="s">
        <v>342</v>
      </c>
      <c r="I29" s="21"/>
    </row>
    <row r="30" spans="1:10">
      <c r="A30" s="2" t="s">
        <v>343</v>
      </c>
      <c r="B30" s="2" t="str">
        <f>TRIM(A30)</f>
        <v>computer science</v>
      </c>
      <c r="C30" s="2" t="str">
        <f>PROPER(A30)</f>
        <v xml:space="preserve">  Computer Science  </v>
      </c>
      <c r="D30" s="2" t="str">
        <f>UPPER(A30)</f>
        <v xml:space="preserve">  COMPUTER SCIENCE  </v>
      </c>
    </row>
    <row r="31" spans="1:10">
      <c r="A31" s="2" t="s">
        <v>31</v>
      </c>
      <c r="B31" s="2" t="str">
        <f>TRIM(A31)</f>
        <v>good standing</v>
      </c>
      <c r="C31" s="2" t="str">
        <f>PROPER(A31)</f>
        <v>Good Standing</v>
      </c>
      <c r="D31" s="2" t="str">
        <f>UPPER(A31)</f>
        <v>GOOD STANDING</v>
      </c>
    </row>
    <row r="32" spans="1:10">
      <c r="A32" s="2" t="s">
        <v>344</v>
      </c>
      <c r="B32" s="2" t="str">
        <f>TRIM(A32)</f>
        <v>public health</v>
      </c>
      <c r="C32" s="2" t="str">
        <f>PROPER(A32)</f>
        <v>Public Health</v>
      </c>
      <c r="D32" s="2" t="str">
        <f>UPPER(A32)</f>
        <v>PUBLIC HEALTH</v>
      </c>
    </row>
    <row r="34" spans="1:7" ht="15.5">
      <c r="A34" s="34" t="s">
        <v>362</v>
      </c>
      <c r="B34" s="35"/>
      <c r="C34" s="35"/>
      <c r="D34" s="35"/>
      <c r="E34" s="35"/>
      <c r="F34" s="35"/>
      <c r="G34" s="36"/>
    </row>
    <row r="35" spans="1:7">
      <c r="A35" s="18" t="s">
        <v>49</v>
      </c>
      <c r="B35" s="18" t="s">
        <v>30</v>
      </c>
      <c r="C35" s="18">
        <v>83.9</v>
      </c>
      <c r="D35" s="18">
        <v>96.6</v>
      </c>
      <c r="E35" s="18">
        <v>-2</v>
      </c>
      <c r="F35" s="18">
        <v>91.8</v>
      </c>
      <c r="G35" s="18" t="s">
        <v>26</v>
      </c>
    </row>
    <row r="36" spans="1:7">
      <c r="A36" s="2" t="s">
        <v>283</v>
      </c>
      <c r="B36" s="2" t="s">
        <v>111</v>
      </c>
      <c r="C36" s="2">
        <v>83.8</v>
      </c>
      <c r="D36" s="2">
        <v>79.2</v>
      </c>
      <c r="E36" s="2">
        <v>11.4</v>
      </c>
      <c r="F36" s="2">
        <v>49.5</v>
      </c>
      <c r="G36" s="2" t="s">
        <v>22</v>
      </c>
    </row>
    <row r="37" spans="1:7">
      <c r="A37" s="18" t="s">
        <v>282</v>
      </c>
      <c r="B37" s="18" t="s">
        <v>24</v>
      </c>
      <c r="C37" s="18">
        <v>82.6</v>
      </c>
      <c r="D37" s="18">
        <v>57.2</v>
      </c>
      <c r="E37" s="18">
        <v>22.2</v>
      </c>
      <c r="F37" s="18">
        <v>60.4</v>
      </c>
      <c r="G37" s="18" t="s">
        <v>22</v>
      </c>
    </row>
    <row r="38" spans="1:7">
      <c r="A38" s="2" t="s">
        <v>138</v>
      </c>
      <c r="B38" s="2" t="s">
        <v>46</v>
      </c>
      <c r="C38" s="2">
        <v>85.5</v>
      </c>
      <c r="D38" s="2">
        <v>64.599999999999994</v>
      </c>
      <c r="E38" s="2">
        <v>29.6</v>
      </c>
      <c r="F38" s="2">
        <v>89.8</v>
      </c>
      <c r="G38" s="2" t="s">
        <v>26</v>
      </c>
    </row>
    <row r="39" spans="1:7">
      <c r="A39" s="18" t="s">
        <v>317</v>
      </c>
      <c r="B39" s="18" t="s">
        <v>34</v>
      </c>
      <c r="C39" s="18">
        <v>82</v>
      </c>
      <c r="D39" s="18">
        <v>68.8</v>
      </c>
      <c r="E39" s="18">
        <v>31.2</v>
      </c>
      <c r="F39" s="18">
        <v>85.3</v>
      </c>
      <c r="G39" s="18" t="s">
        <v>26</v>
      </c>
    </row>
    <row r="40" spans="1:7">
      <c r="A40" s="2" t="s">
        <v>93</v>
      </c>
      <c r="B40" s="2" t="s">
        <v>34</v>
      </c>
      <c r="C40" s="2">
        <v>84.6</v>
      </c>
      <c r="D40" s="2">
        <v>80.5</v>
      </c>
      <c r="E40" s="2">
        <v>32.9</v>
      </c>
      <c r="F40" s="2">
        <v>36.799999999999997</v>
      </c>
      <c r="G40" s="2" t="s">
        <v>22</v>
      </c>
    </row>
    <row r="41" spans="1:7">
      <c r="A41" s="18" t="s">
        <v>105</v>
      </c>
      <c r="B41" s="18" t="s">
        <v>30</v>
      </c>
      <c r="C41" s="18">
        <v>82.5</v>
      </c>
      <c r="D41" s="18">
        <v>60.3</v>
      </c>
      <c r="E41" s="18">
        <v>33.200000000000003</v>
      </c>
      <c r="F41" s="18">
        <v>85.2</v>
      </c>
      <c r="G41" s="18" t="s">
        <v>22</v>
      </c>
    </row>
    <row r="42" spans="1:7">
      <c r="A42" s="2" t="s">
        <v>87</v>
      </c>
      <c r="B42" s="2" t="s">
        <v>24</v>
      </c>
      <c r="C42" s="2">
        <v>84.4</v>
      </c>
      <c r="D42" s="2">
        <v>85.3</v>
      </c>
      <c r="E42" s="2">
        <v>33.5</v>
      </c>
      <c r="F42" s="2">
        <v>100</v>
      </c>
      <c r="G42" s="2" t="s">
        <v>26</v>
      </c>
    </row>
    <row r="43" spans="1:7">
      <c r="A43" s="18" t="s">
        <v>226</v>
      </c>
      <c r="B43" s="18" t="s">
        <v>30</v>
      </c>
      <c r="C43" s="18">
        <v>68.900000000000006</v>
      </c>
      <c r="D43" s="18">
        <v>85.3</v>
      </c>
      <c r="E43" s="18">
        <v>38.6</v>
      </c>
      <c r="F43" s="18">
        <v>71</v>
      </c>
      <c r="G43" s="18" t="s">
        <v>22</v>
      </c>
    </row>
    <row r="46" spans="1:7" s="12" customFormat="1">
      <c r="A46" s="37" t="s">
        <v>363</v>
      </c>
      <c r="B46" s="37"/>
      <c r="C46" s="37"/>
      <c r="D46" s="37"/>
      <c r="E46" s="37"/>
      <c r="F46" s="37"/>
      <c r="G46" s="37"/>
    </row>
    <row r="47" spans="1:7">
      <c r="A47" s="18" t="s">
        <v>254</v>
      </c>
      <c r="B47" s="18" t="s">
        <v>30</v>
      </c>
      <c r="C47" s="18">
        <v>72.3</v>
      </c>
      <c r="D47" s="18">
        <v>55.5</v>
      </c>
      <c r="E47" s="18">
        <v>117</v>
      </c>
      <c r="F47" s="18">
        <v>80</v>
      </c>
      <c r="G47" s="18" t="s">
        <v>26</v>
      </c>
    </row>
    <row r="48" spans="1:7">
      <c r="A48" s="2" t="s">
        <v>36</v>
      </c>
      <c r="B48" s="2" t="s">
        <v>30</v>
      </c>
      <c r="C48" s="2">
        <v>77.900000000000006</v>
      </c>
      <c r="D48" s="2">
        <v>65.8</v>
      </c>
      <c r="E48" s="2">
        <v>100</v>
      </c>
      <c r="F48" s="2">
        <v>91</v>
      </c>
      <c r="G48" s="2" t="s">
        <v>26</v>
      </c>
    </row>
    <row r="49" spans="1:7">
      <c r="A49" s="18" t="s">
        <v>102</v>
      </c>
      <c r="B49" s="18" t="s">
        <v>91</v>
      </c>
      <c r="C49" s="18">
        <v>88.7</v>
      </c>
      <c r="D49" s="18">
        <v>85.3</v>
      </c>
      <c r="E49" s="18">
        <v>100</v>
      </c>
      <c r="F49" s="18">
        <v>69.400000000000006</v>
      </c>
      <c r="G49" s="18" t="s">
        <v>26</v>
      </c>
    </row>
    <row r="50" spans="1:7">
      <c r="A50" s="2" t="s">
        <v>148</v>
      </c>
      <c r="B50" s="2" t="s">
        <v>46</v>
      </c>
      <c r="C50" s="2">
        <v>73.7</v>
      </c>
      <c r="D50" s="2">
        <v>76.900000000000006</v>
      </c>
      <c r="E50" s="2">
        <v>100</v>
      </c>
      <c r="F50" s="2">
        <v>56.2</v>
      </c>
      <c r="G50" s="2" t="s">
        <v>26</v>
      </c>
    </row>
    <row r="51" spans="1:7">
      <c r="A51" s="18" t="s">
        <v>240</v>
      </c>
      <c r="B51" s="18" t="s">
        <v>34</v>
      </c>
      <c r="C51" s="18">
        <v>90.1</v>
      </c>
      <c r="D51" s="18">
        <v>69.8</v>
      </c>
      <c r="E51" s="18">
        <v>100</v>
      </c>
      <c r="F51" s="18">
        <v>96.1</v>
      </c>
      <c r="G51" s="18" t="s">
        <v>26</v>
      </c>
    </row>
    <row r="52" spans="1:7">
      <c r="A52" s="2" t="s">
        <v>260</v>
      </c>
      <c r="B52" s="2" t="s">
        <v>30</v>
      </c>
      <c r="C52" s="2">
        <v>80.7</v>
      </c>
      <c r="D52" s="2">
        <v>71.3</v>
      </c>
      <c r="E52" s="2">
        <v>100</v>
      </c>
      <c r="F52" s="2">
        <v>67.599999999999994</v>
      </c>
      <c r="G52" s="2" t="s">
        <v>26</v>
      </c>
    </row>
    <row r="53" spans="1:7">
      <c r="A53" s="18" t="s">
        <v>281</v>
      </c>
      <c r="B53" s="18" t="s">
        <v>34</v>
      </c>
      <c r="C53" s="18">
        <v>84.6</v>
      </c>
      <c r="D53" s="18">
        <v>79.8</v>
      </c>
      <c r="E53" s="18">
        <v>100</v>
      </c>
      <c r="F53" s="18">
        <v>64.2</v>
      </c>
      <c r="G53" s="18" t="s">
        <v>26</v>
      </c>
    </row>
    <row r="54" spans="1:7">
      <c r="A54" s="2" t="s">
        <v>285</v>
      </c>
      <c r="B54" s="2" t="s">
        <v>24</v>
      </c>
      <c r="C54" s="2">
        <v>75.8</v>
      </c>
      <c r="D54" s="2">
        <v>69.8</v>
      </c>
      <c r="E54" s="2">
        <v>100</v>
      </c>
      <c r="F54" s="2">
        <v>91.7</v>
      </c>
      <c r="G54" s="2" t="s">
        <v>26</v>
      </c>
    </row>
    <row r="55" spans="1:7">
      <c r="A55" s="18" t="s">
        <v>308</v>
      </c>
      <c r="B55" s="18" t="s">
        <v>30</v>
      </c>
      <c r="C55" s="18">
        <v>84.2</v>
      </c>
      <c r="D55" s="18">
        <v>61.6</v>
      </c>
      <c r="E55" s="18">
        <v>100</v>
      </c>
      <c r="F55" s="18">
        <v>77.5</v>
      </c>
      <c r="G55" s="18" t="s">
        <v>26</v>
      </c>
    </row>
    <row r="56" spans="1:7">
      <c r="A56" s="2" t="s">
        <v>218</v>
      </c>
      <c r="B56" s="2" t="s">
        <v>30</v>
      </c>
      <c r="C56" s="2">
        <v>58.7</v>
      </c>
      <c r="D56" s="2">
        <v>61.3</v>
      </c>
      <c r="E56" s="2">
        <v>99.6</v>
      </c>
      <c r="F56" s="2">
        <v>55.9</v>
      </c>
      <c r="G56" s="2" t="s">
        <v>22</v>
      </c>
    </row>
    <row r="59" spans="1:7">
      <c r="A59" t="s">
        <v>372</v>
      </c>
    </row>
    <row r="60" spans="1:7" ht="29">
      <c r="A60" s="24" t="s">
        <v>369</v>
      </c>
      <c r="B60" s="25" t="s">
        <v>371</v>
      </c>
    </row>
    <row r="61" spans="1:7">
      <c r="A61" s="26" t="s">
        <v>30</v>
      </c>
      <c r="B61" s="26" t="s">
        <v>30</v>
      </c>
    </row>
    <row r="62" spans="1:7">
      <c r="A62" s="26" t="s">
        <v>30</v>
      </c>
      <c r="B62" s="26" t="s">
        <v>30</v>
      </c>
    </row>
    <row r="63" spans="1:7">
      <c r="A63" s="26" t="s">
        <v>269</v>
      </c>
      <c r="B63" s="26" t="s">
        <v>34</v>
      </c>
    </row>
    <row r="64" spans="1:7">
      <c r="A64" s="26" t="s">
        <v>269</v>
      </c>
      <c r="B64" s="26" t="s">
        <v>34</v>
      </c>
    </row>
    <row r="65" spans="1:2">
      <c r="A65" s="26" t="s">
        <v>111</v>
      </c>
      <c r="B65" s="26" t="s">
        <v>28</v>
      </c>
    </row>
    <row r="66" spans="1:2">
      <c r="A66" s="26" t="s">
        <v>24</v>
      </c>
      <c r="B66" s="26" t="s">
        <v>24</v>
      </c>
    </row>
    <row r="67" spans="1:2">
      <c r="A67" s="26" t="s">
        <v>182</v>
      </c>
      <c r="B67" s="26" t="s">
        <v>30</v>
      </c>
    </row>
    <row r="68" spans="1:2">
      <c r="A68" s="26" t="s">
        <v>206</v>
      </c>
      <c r="B68" s="26" t="s">
        <v>21</v>
      </c>
    </row>
    <row r="69" spans="1:2">
      <c r="A69" s="23" t="s">
        <v>373</v>
      </c>
      <c r="B69" s="26" t="s">
        <v>91</v>
      </c>
    </row>
    <row r="70" spans="1:2">
      <c r="A70" s="26" t="s">
        <v>91</v>
      </c>
      <c r="B70" s="26" t="s">
        <v>91</v>
      </c>
    </row>
    <row r="71" spans="1:2">
      <c r="A71" s="26"/>
      <c r="B71" s="26"/>
    </row>
    <row r="72" spans="1:2">
      <c r="A72" t="s">
        <v>388</v>
      </c>
      <c r="B72" s="26"/>
    </row>
    <row r="73" spans="1:2" ht="14.5" customHeight="1">
      <c r="A73" s="24" t="s">
        <v>369</v>
      </c>
      <c r="B73" s="25" t="s">
        <v>371</v>
      </c>
    </row>
    <row r="74" spans="1:2">
      <c r="A74" s="23" t="s">
        <v>207</v>
      </c>
      <c r="B74" s="23" t="s">
        <v>22</v>
      </c>
    </row>
    <row r="75" spans="1:2">
      <c r="A75" s="23" t="s">
        <v>62</v>
      </c>
      <c r="B75" s="23" t="s">
        <v>22</v>
      </c>
    </row>
    <row r="76" spans="1:2">
      <c r="A76" s="23" t="s">
        <v>74</v>
      </c>
      <c r="B76" s="23" t="s">
        <v>26</v>
      </c>
    </row>
    <row r="77" spans="1:2">
      <c r="A77" s="23" t="s">
        <v>74</v>
      </c>
      <c r="B77" s="23" t="s">
        <v>26</v>
      </c>
    </row>
    <row r="78" spans="1:2">
      <c r="A78" s="23" t="s">
        <v>370</v>
      </c>
      <c r="B78" s="23" t="s">
        <v>91</v>
      </c>
    </row>
    <row r="79" spans="1:2">
      <c r="A79" s="23" t="s">
        <v>39</v>
      </c>
      <c r="B79" s="23" t="s">
        <v>91</v>
      </c>
    </row>
    <row r="81" spans="1:2">
      <c r="A81" s="24" t="s">
        <v>389</v>
      </c>
      <c r="B81" s="25" t="s">
        <v>390</v>
      </c>
    </row>
    <row r="82" spans="1:2">
      <c r="A82" t="s">
        <v>382</v>
      </c>
      <c r="B82" s="28">
        <f>AVERAGE($F$2:$F$298)</f>
        <v>74.705263157894748</v>
      </c>
    </row>
    <row r="83" spans="1:2">
      <c r="A83" t="s">
        <v>383</v>
      </c>
      <c r="B83" s="28">
        <f>AVERAGE($E$2:$E$298)</f>
        <v>65.642105263157887</v>
      </c>
    </row>
    <row r="84" spans="1:2">
      <c r="A84" t="s">
        <v>384</v>
      </c>
      <c r="B84" s="28">
        <f>AVERAGE($C$2:$C$298)</f>
        <v>80.257894736842104</v>
      </c>
    </row>
    <row r="85" spans="1:2">
      <c r="A85" t="s">
        <v>385</v>
      </c>
      <c r="B85" s="28">
        <f>AVERAGE($D$2:$D$298)</f>
        <v>72.36315789473683</v>
      </c>
    </row>
  </sheetData>
  <mergeCells count="7">
    <mergeCell ref="A1:S1"/>
    <mergeCell ref="A3:E3"/>
    <mergeCell ref="A34:G34"/>
    <mergeCell ref="A46:G46"/>
    <mergeCell ref="A14:E14"/>
    <mergeCell ref="A22:E22"/>
    <mergeCell ref="A28:F28"/>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B5026-8B67-4B28-AA04-A85C159E0357}">
  <sheetPr>
    <tabColor rgb="FF92D050"/>
  </sheetPr>
  <dimension ref="A7:N30"/>
  <sheetViews>
    <sheetView topLeftCell="A9" zoomScale="95" zoomScaleNormal="95" workbookViewId="0">
      <selection activeCell="U21" sqref="U21"/>
    </sheetView>
  </sheetViews>
  <sheetFormatPr defaultRowHeight="14.5"/>
  <cols>
    <col min="1" max="1" width="21.08984375" bestFit="1" customWidth="1"/>
    <col min="2" max="2" width="18.1796875" bestFit="1" customWidth="1"/>
    <col min="3" max="6" width="4.81640625" bestFit="1" customWidth="1"/>
    <col min="7" max="7" width="13.08984375" bestFit="1" customWidth="1"/>
    <col min="8" max="8" width="18.1796875" bestFit="1" customWidth="1"/>
    <col min="9" max="11" width="4.81640625" bestFit="1" customWidth="1"/>
    <col min="12" max="12" width="17.81640625" customWidth="1"/>
    <col min="13" max="13" width="13.08984375" bestFit="1" customWidth="1"/>
    <col min="14" max="14" width="18.1796875" bestFit="1" customWidth="1"/>
    <col min="15" max="16" width="4.81640625" bestFit="1" customWidth="1"/>
    <col min="17" max="17" width="2.81640625" bestFit="1" customWidth="1"/>
    <col min="18" max="20" width="4.81640625" bestFit="1" customWidth="1"/>
    <col min="21" max="21" width="2.81640625" bestFit="1" customWidth="1"/>
    <col min="22" max="26" width="4.81640625" bestFit="1" customWidth="1"/>
    <col min="27" max="27" width="2.81640625" bestFit="1" customWidth="1"/>
    <col min="28" max="40" width="4.81640625" bestFit="1" customWidth="1"/>
    <col min="41" max="41" width="2.81640625" bestFit="1" customWidth="1"/>
    <col min="42" max="49" width="4.81640625" bestFit="1" customWidth="1"/>
    <col min="50" max="50" width="2.81640625" bestFit="1" customWidth="1"/>
    <col min="51" max="55" width="4.81640625" bestFit="1" customWidth="1"/>
    <col min="56" max="56" width="2.81640625" bestFit="1" customWidth="1"/>
    <col min="57" max="63" width="4.81640625" bestFit="1" customWidth="1"/>
    <col min="64" max="64" width="2.81640625" bestFit="1" customWidth="1"/>
    <col min="65" max="69" width="4.81640625" bestFit="1" customWidth="1"/>
    <col min="70" max="70" width="2.81640625" bestFit="1" customWidth="1"/>
    <col min="71" max="72" width="4.81640625" bestFit="1" customWidth="1"/>
    <col min="73" max="73" width="2.81640625" bestFit="1" customWidth="1"/>
    <col min="74" max="78" width="4.81640625" bestFit="1" customWidth="1"/>
    <col min="79" max="79" width="2.81640625" bestFit="1" customWidth="1"/>
    <col min="80" max="83" width="4.81640625" bestFit="1" customWidth="1"/>
    <col min="84" max="84" width="2.81640625" bestFit="1" customWidth="1"/>
    <col min="85" max="92" width="4.81640625" bestFit="1" customWidth="1"/>
    <col min="93" max="93" width="2.81640625" bestFit="1" customWidth="1"/>
    <col min="94" max="97" width="4.81640625" bestFit="1" customWidth="1"/>
    <col min="98" max="98" width="2.81640625" bestFit="1" customWidth="1"/>
    <col min="99" max="111" width="4.81640625" bestFit="1" customWidth="1"/>
    <col min="112" max="112" width="2.81640625" bestFit="1" customWidth="1"/>
    <col min="113" max="114" width="4.81640625" bestFit="1" customWidth="1"/>
    <col min="115" max="115" width="8.81640625" bestFit="1" customWidth="1"/>
    <col min="116" max="116" width="2.81640625" bestFit="1" customWidth="1"/>
    <col min="117" max="131" width="4.81640625" bestFit="1" customWidth="1"/>
    <col min="132" max="132" width="2.81640625" bestFit="1" customWidth="1"/>
    <col min="133" max="141" width="4.81640625" bestFit="1" customWidth="1"/>
    <col min="142" max="142" width="2.81640625" bestFit="1" customWidth="1"/>
    <col min="143" max="146" width="4.81640625" bestFit="1" customWidth="1"/>
    <col min="147" max="147" width="2.81640625" bestFit="1" customWidth="1"/>
    <col min="148" max="148" width="4.81640625" bestFit="1" customWidth="1"/>
    <col min="149" max="149" width="2.81640625" bestFit="1" customWidth="1"/>
    <col min="150" max="154" width="4.81640625" bestFit="1" customWidth="1"/>
    <col min="155" max="155" width="2.81640625" bestFit="1" customWidth="1"/>
    <col min="156" max="160" width="4.81640625" bestFit="1" customWidth="1"/>
    <col min="161" max="161" width="2.81640625" bestFit="1" customWidth="1"/>
    <col min="162" max="168" width="4.81640625" bestFit="1" customWidth="1"/>
    <col min="169" max="169" width="2.81640625" bestFit="1" customWidth="1"/>
    <col min="170" max="187" width="4.81640625" bestFit="1" customWidth="1"/>
    <col min="188" max="188" width="2.81640625" bestFit="1" customWidth="1"/>
    <col min="189" max="194" width="4.81640625" bestFit="1" customWidth="1"/>
    <col min="195" max="195" width="2.81640625" bestFit="1" customWidth="1"/>
    <col min="196" max="201" width="4.81640625" bestFit="1" customWidth="1"/>
    <col min="202" max="202" width="2.81640625" bestFit="1" customWidth="1"/>
    <col min="203" max="212" width="4.81640625" bestFit="1" customWidth="1"/>
    <col min="213" max="213" width="2.81640625" bestFit="1" customWidth="1"/>
    <col min="214" max="215" width="4.81640625" bestFit="1" customWidth="1"/>
    <col min="216" max="216" width="2.81640625" bestFit="1" customWidth="1"/>
    <col min="217" max="217" width="4.81640625" bestFit="1" customWidth="1"/>
    <col min="218" max="220" width="3.81640625" bestFit="1" customWidth="1"/>
    <col min="221" max="221" width="8.90625" bestFit="1" customWidth="1"/>
    <col min="222" max="222" width="10.7265625" bestFit="1" customWidth="1"/>
    <col min="223" max="224" width="4.81640625" bestFit="1" customWidth="1"/>
    <col min="225" max="225" width="9.08984375" bestFit="1" customWidth="1"/>
    <col min="226" max="226" width="6.6328125" bestFit="1" customWidth="1"/>
    <col min="227" max="227" width="2.81640625" bestFit="1" customWidth="1"/>
    <col min="228" max="228" width="9.08984375" bestFit="1" customWidth="1"/>
    <col min="229" max="229" width="6.6328125" bestFit="1" customWidth="1"/>
    <col min="230" max="230" width="9.08984375" bestFit="1" customWidth="1"/>
    <col min="231" max="231" width="6.6328125" bestFit="1" customWidth="1"/>
    <col min="232" max="232" width="9.08984375" bestFit="1" customWidth="1"/>
    <col min="233" max="233" width="6.6328125" bestFit="1" customWidth="1"/>
    <col min="234" max="234" width="9.08984375" bestFit="1" customWidth="1"/>
    <col min="235" max="235" width="4.81640625" bestFit="1" customWidth="1"/>
    <col min="236" max="236" width="7.54296875" bestFit="1" customWidth="1"/>
    <col min="237" max="237" width="6.6328125" bestFit="1" customWidth="1"/>
    <col min="238" max="238" width="9.08984375" bestFit="1" customWidth="1"/>
    <col min="239" max="239" width="6.6328125" bestFit="1" customWidth="1"/>
    <col min="240" max="240" width="9.08984375" bestFit="1" customWidth="1"/>
    <col min="241" max="241" width="6.6328125" bestFit="1" customWidth="1"/>
    <col min="242" max="242" width="4.81640625" bestFit="1" customWidth="1"/>
    <col min="243" max="243" width="3.81640625" bestFit="1" customWidth="1"/>
    <col min="244" max="244" width="9.08984375" bestFit="1" customWidth="1"/>
    <col min="245" max="245" width="6.6328125" bestFit="1" customWidth="1"/>
    <col min="246" max="246" width="9.08984375" bestFit="1" customWidth="1"/>
    <col min="247" max="247" width="6.6328125" bestFit="1" customWidth="1"/>
    <col min="248" max="248" width="9.08984375" bestFit="1" customWidth="1"/>
    <col min="249" max="249" width="6.6328125" bestFit="1" customWidth="1"/>
    <col min="250" max="250" width="2.81640625" bestFit="1" customWidth="1"/>
    <col min="251" max="251" width="9.08984375" bestFit="1" customWidth="1"/>
    <col min="252" max="252" width="6.6328125" bestFit="1" customWidth="1"/>
    <col min="253" max="253" width="9.08984375" bestFit="1" customWidth="1"/>
    <col min="254" max="255" width="4.81640625" bestFit="1" customWidth="1"/>
    <col min="256" max="256" width="7.54296875" bestFit="1" customWidth="1"/>
    <col min="257" max="257" width="6.6328125" bestFit="1" customWidth="1"/>
    <col min="258" max="258" width="4.81640625" bestFit="1" customWidth="1"/>
    <col min="259" max="259" width="9.08984375" bestFit="1" customWidth="1"/>
    <col min="260" max="260" width="6.6328125" bestFit="1" customWidth="1"/>
    <col min="261" max="262" width="4.81640625" bestFit="1" customWidth="1"/>
    <col min="263" max="263" width="9.08984375" bestFit="1" customWidth="1"/>
    <col min="264" max="264" width="6.6328125" bestFit="1" customWidth="1"/>
    <col min="265" max="265" width="2.81640625" bestFit="1" customWidth="1"/>
    <col min="266" max="266" width="9.08984375" bestFit="1" customWidth="1"/>
    <col min="267" max="267" width="6.6328125" bestFit="1" customWidth="1"/>
    <col min="268" max="268" width="4.81640625" bestFit="1" customWidth="1"/>
    <col min="269" max="269" width="2.81640625" bestFit="1" customWidth="1"/>
    <col min="270" max="270" width="9.08984375" bestFit="1" customWidth="1"/>
    <col min="271" max="271" width="6.6328125" bestFit="1" customWidth="1"/>
    <col min="272" max="272" width="9.08984375" bestFit="1" customWidth="1"/>
    <col min="273" max="273" width="6.6328125" bestFit="1" customWidth="1"/>
    <col min="274" max="275" width="4.81640625" bestFit="1" customWidth="1"/>
    <col min="276" max="276" width="9.08984375" bestFit="1" customWidth="1"/>
    <col min="277" max="277" width="6.6328125" bestFit="1" customWidth="1"/>
    <col min="278" max="278" width="4.81640625" bestFit="1" customWidth="1"/>
    <col min="279" max="279" width="9.08984375" bestFit="1" customWidth="1"/>
    <col min="280" max="280" width="6.6328125" bestFit="1" customWidth="1"/>
    <col min="281" max="281" width="9.08984375" bestFit="1" customWidth="1"/>
    <col min="282" max="282" width="6.6328125" bestFit="1" customWidth="1"/>
    <col min="283" max="283" width="9.08984375" bestFit="1" customWidth="1"/>
    <col min="284" max="284" width="6.6328125" bestFit="1" customWidth="1"/>
    <col min="285" max="286" width="4.81640625" bestFit="1" customWidth="1"/>
    <col min="287" max="287" width="9.08984375" bestFit="1" customWidth="1"/>
    <col min="288" max="288" width="6.6328125" bestFit="1" customWidth="1"/>
    <col min="289" max="289" width="4.81640625" bestFit="1" customWidth="1"/>
    <col min="290" max="290" width="9.08984375" bestFit="1" customWidth="1"/>
    <col min="291" max="291" width="6.6328125" bestFit="1" customWidth="1"/>
    <col min="292" max="292" width="9.08984375" bestFit="1" customWidth="1"/>
    <col min="293" max="293" width="6.6328125" bestFit="1" customWidth="1"/>
    <col min="294" max="294" width="9.08984375" bestFit="1" customWidth="1"/>
    <col min="295" max="295" width="6.6328125" bestFit="1" customWidth="1"/>
    <col min="296" max="296" width="4.81640625" bestFit="1" customWidth="1"/>
    <col min="297" max="297" width="9.08984375" bestFit="1" customWidth="1"/>
    <col min="298" max="298" width="6.6328125" bestFit="1" customWidth="1"/>
    <col min="299" max="299" width="3.81640625" bestFit="1" customWidth="1"/>
    <col min="300" max="300" width="9.08984375" bestFit="1" customWidth="1"/>
    <col min="301" max="301" width="6.6328125" bestFit="1" customWidth="1"/>
    <col min="302" max="302" width="4.81640625" bestFit="1" customWidth="1"/>
    <col min="303" max="303" width="9.08984375" bestFit="1" customWidth="1"/>
    <col min="304" max="304" width="6.6328125" bestFit="1" customWidth="1"/>
    <col min="305" max="305" width="9.08984375" bestFit="1" customWidth="1"/>
    <col min="306" max="306" width="6.6328125" bestFit="1" customWidth="1"/>
    <col min="307" max="307" width="4.81640625" bestFit="1" customWidth="1"/>
    <col min="308" max="308" width="9.08984375" bestFit="1" customWidth="1"/>
    <col min="309" max="309" width="4.81640625" bestFit="1" customWidth="1"/>
    <col min="310" max="310" width="7.54296875" bestFit="1" customWidth="1"/>
    <col min="311" max="311" width="6.6328125" bestFit="1" customWidth="1"/>
    <col min="312" max="312" width="4.81640625" bestFit="1" customWidth="1"/>
    <col min="313" max="313" width="9.08984375" bestFit="1" customWidth="1"/>
    <col min="314" max="314" width="6.6328125" bestFit="1" customWidth="1"/>
    <col min="315" max="315" width="9.08984375" bestFit="1" customWidth="1"/>
    <col min="316" max="316" width="6.6328125" bestFit="1" customWidth="1"/>
    <col min="317" max="317" width="9.08984375" bestFit="1" customWidth="1"/>
    <col min="318" max="318" width="6.6328125" bestFit="1" customWidth="1"/>
    <col min="319" max="319" width="4.81640625" bestFit="1" customWidth="1"/>
    <col min="320" max="320" width="9.08984375" bestFit="1" customWidth="1"/>
    <col min="321" max="321" width="6.6328125" bestFit="1" customWidth="1"/>
    <col min="322" max="322" width="4.81640625" bestFit="1" customWidth="1"/>
    <col min="323" max="323" width="9.08984375" bestFit="1" customWidth="1"/>
    <col min="324" max="324" width="4.81640625" bestFit="1" customWidth="1"/>
    <col min="325" max="325" width="7.54296875" bestFit="1" customWidth="1"/>
    <col min="326" max="326" width="6.6328125" bestFit="1" customWidth="1"/>
    <col min="327" max="327" width="9.08984375" bestFit="1" customWidth="1"/>
    <col min="328" max="328" width="6.6328125" bestFit="1" customWidth="1"/>
    <col min="329" max="329" width="4.81640625" bestFit="1" customWidth="1"/>
    <col min="330" max="330" width="9.08984375" bestFit="1" customWidth="1"/>
    <col min="331" max="331" width="6.6328125" bestFit="1" customWidth="1"/>
    <col min="332" max="332" width="9.08984375" bestFit="1" customWidth="1"/>
    <col min="333" max="333" width="6.6328125" bestFit="1" customWidth="1"/>
    <col min="334" max="334" width="4.81640625" bestFit="1" customWidth="1"/>
    <col min="335" max="335" width="9.08984375" bestFit="1" customWidth="1"/>
    <col min="336" max="336" width="6.6328125" bestFit="1" customWidth="1"/>
    <col min="337" max="337" width="9.08984375" bestFit="1" customWidth="1"/>
    <col min="338" max="338" width="6.6328125" bestFit="1" customWidth="1"/>
    <col min="339" max="339" width="9.08984375" bestFit="1" customWidth="1"/>
    <col min="340" max="340" width="6.6328125" bestFit="1" customWidth="1"/>
    <col min="341" max="341" width="9.08984375" bestFit="1" customWidth="1"/>
    <col min="342" max="342" width="6.6328125" bestFit="1" customWidth="1"/>
    <col min="343" max="343" width="4.81640625" bestFit="1" customWidth="1"/>
    <col min="344" max="344" width="9.08984375" bestFit="1" customWidth="1"/>
    <col min="345" max="345" width="6.6328125" bestFit="1" customWidth="1"/>
    <col min="346" max="346" width="9.08984375" bestFit="1" customWidth="1"/>
    <col min="347" max="347" width="4.81640625" bestFit="1" customWidth="1"/>
    <col min="348" max="348" width="7.54296875" bestFit="1" customWidth="1"/>
    <col min="349" max="349" width="6.6328125" bestFit="1" customWidth="1"/>
    <col min="350" max="350" width="9.08984375" bestFit="1" customWidth="1"/>
    <col min="351" max="351" width="6.6328125" bestFit="1" customWidth="1"/>
    <col min="352" max="352" width="4.81640625" bestFit="1" customWidth="1"/>
    <col min="353" max="353" width="9.08984375" bestFit="1" customWidth="1"/>
    <col min="354" max="354" width="6.6328125" bestFit="1" customWidth="1"/>
    <col min="355" max="355" width="9.08984375" bestFit="1" customWidth="1"/>
    <col min="356" max="356" width="6.6328125" bestFit="1" customWidth="1"/>
    <col min="357" max="357" width="2.81640625" bestFit="1" customWidth="1"/>
    <col min="358" max="358" width="4.81640625" bestFit="1" customWidth="1"/>
    <col min="359" max="359" width="9.08984375" bestFit="1" customWidth="1"/>
    <col min="360" max="360" width="6.6328125" bestFit="1" customWidth="1"/>
    <col min="361" max="361" width="9.08984375" bestFit="1" customWidth="1"/>
    <col min="362" max="362" width="6.6328125" bestFit="1" customWidth="1"/>
    <col min="363" max="363" width="9.08984375" bestFit="1" customWidth="1"/>
    <col min="364" max="364" width="6.6328125" bestFit="1" customWidth="1"/>
    <col min="365" max="365" width="3.81640625" bestFit="1" customWidth="1"/>
    <col min="366" max="366" width="9.08984375" bestFit="1" customWidth="1"/>
    <col min="367" max="367" width="6.6328125" bestFit="1" customWidth="1"/>
    <col min="368" max="368" width="9.08984375" bestFit="1" customWidth="1"/>
    <col min="369" max="369" width="6.6328125" bestFit="1" customWidth="1"/>
    <col min="370" max="370" width="9.08984375" bestFit="1" customWidth="1"/>
    <col min="371" max="373" width="4.81640625" bestFit="1" customWidth="1"/>
    <col min="374" max="374" width="7.54296875" bestFit="1" customWidth="1"/>
    <col min="375" max="375" width="6.6328125" bestFit="1" customWidth="1"/>
    <col min="376" max="376" width="9.08984375" bestFit="1" customWidth="1"/>
    <col min="377" max="377" width="6.6328125" bestFit="1" customWidth="1"/>
    <col min="378" max="378" width="4.81640625" bestFit="1" customWidth="1"/>
    <col min="379" max="379" width="9.08984375" bestFit="1" customWidth="1"/>
    <col min="380" max="380" width="6.6328125" bestFit="1" customWidth="1"/>
    <col min="381" max="381" width="9.08984375" bestFit="1" customWidth="1"/>
    <col min="382" max="382" width="6.6328125" bestFit="1" customWidth="1"/>
    <col min="383" max="383" width="9.08984375" bestFit="1" customWidth="1"/>
    <col min="384" max="384" width="6.6328125" bestFit="1" customWidth="1"/>
    <col min="385" max="385" width="9.08984375" bestFit="1" customWidth="1"/>
    <col min="386" max="386" width="6.6328125" bestFit="1" customWidth="1"/>
    <col min="387" max="387" width="9.08984375" bestFit="1" customWidth="1"/>
    <col min="388" max="388" width="6.6328125" bestFit="1" customWidth="1"/>
    <col min="389" max="389" width="2.81640625" bestFit="1" customWidth="1"/>
    <col min="390" max="390" width="9.08984375" bestFit="1" customWidth="1"/>
    <col min="391" max="391" width="6.6328125" bestFit="1" customWidth="1"/>
    <col min="392" max="392" width="9.08984375" bestFit="1" customWidth="1"/>
    <col min="393" max="393" width="6.6328125" bestFit="1" customWidth="1"/>
    <col min="394" max="394" width="4.81640625" bestFit="1" customWidth="1"/>
    <col min="395" max="395" width="9.08984375" bestFit="1" customWidth="1"/>
    <col min="396" max="396" width="6.6328125" bestFit="1" customWidth="1"/>
    <col min="397" max="397" width="9.08984375" bestFit="1" customWidth="1"/>
    <col min="398" max="398" width="4.81640625" bestFit="1" customWidth="1"/>
    <col min="399" max="399" width="7.54296875" bestFit="1" customWidth="1"/>
    <col min="400" max="400" width="6.6328125" bestFit="1" customWidth="1"/>
    <col min="401" max="401" width="9.08984375" bestFit="1" customWidth="1"/>
    <col min="402" max="402" width="6.6328125" bestFit="1" customWidth="1"/>
    <col min="403" max="403" width="4.81640625" bestFit="1" customWidth="1"/>
    <col min="404" max="404" width="9.08984375" bestFit="1" customWidth="1"/>
    <col min="405" max="405" width="6.6328125" bestFit="1" customWidth="1"/>
    <col min="406" max="406" width="9.08984375" bestFit="1" customWidth="1"/>
    <col min="407" max="407" width="6.6328125" bestFit="1" customWidth="1"/>
    <col min="408" max="408" width="9.08984375" bestFit="1" customWidth="1"/>
    <col min="409" max="409" width="6.6328125" bestFit="1" customWidth="1"/>
    <col min="410" max="410" width="9.08984375" bestFit="1" customWidth="1"/>
    <col min="411" max="411" width="6.6328125" bestFit="1" customWidth="1"/>
    <col min="412" max="412" width="4.81640625" bestFit="1" customWidth="1"/>
    <col min="413" max="413" width="9.08984375" bestFit="1" customWidth="1"/>
    <col min="414" max="414" width="6.6328125" bestFit="1" customWidth="1"/>
    <col min="415" max="415" width="9.08984375" bestFit="1" customWidth="1"/>
    <col min="416" max="416" width="6.6328125" bestFit="1" customWidth="1"/>
    <col min="417" max="417" width="4.81640625" bestFit="1" customWidth="1"/>
    <col min="418" max="418" width="9.08984375" bestFit="1" customWidth="1"/>
    <col min="419" max="419" width="6.6328125" bestFit="1" customWidth="1"/>
    <col min="420" max="420" width="9.08984375" bestFit="1" customWidth="1"/>
    <col min="421" max="421" width="6.6328125" bestFit="1" customWidth="1"/>
    <col min="422" max="422" width="4.81640625" bestFit="1" customWidth="1"/>
    <col min="423" max="423" width="9.08984375" bestFit="1" customWidth="1"/>
    <col min="424" max="424" width="4.81640625" bestFit="1" customWidth="1"/>
    <col min="425" max="425" width="7.54296875" bestFit="1" customWidth="1"/>
    <col min="426" max="426" width="6.6328125" bestFit="1" customWidth="1"/>
    <col min="427" max="427" width="4.81640625" bestFit="1" customWidth="1"/>
    <col min="428" max="428" width="9.08984375" bestFit="1" customWidth="1"/>
    <col min="429" max="429" width="6.6328125" bestFit="1" customWidth="1"/>
    <col min="430" max="430" width="9.08984375" bestFit="1" customWidth="1"/>
    <col min="431" max="431" width="6.6328125" bestFit="1" customWidth="1"/>
    <col min="432" max="432" width="9.08984375" bestFit="1" customWidth="1"/>
    <col min="433" max="434" width="4.81640625" bestFit="1" customWidth="1"/>
    <col min="435" max="435" width="7.54296875" bestFit="1" customWidth="1"/>
    <col min="436" max="436" width="6.6328125" bestFit="1" customWidth="1"/>
    <col min="437" max="437" width="9.08984375" bestFit="1" customWidth="1"/>
    <col min="438" max="438" width="6.6328125" bestFit="1" customWidth="1"/>
    <col min="439" max="439" width="9.08984375" bestFit="1" customWidth="1"/>
    <col min="440" max="440" width="6.6328125" bestFit="1" customWidth="1"/>
    <col min="441" max="441" width="9.08984375" bestFit="1" customWidth="1"/>
    <col min="442" max="442" width="6.6328125" bestFit="1" customWidth="1"/>
    <col min="443" max="443" width="9.08984375" bestFit="1" customWidth="1"/>
    <col min="444" max="444" width="6.6328125" bestFit="1" customWidth="1"/>
    <col min="445" max="445" width="9.08984375" bestFit="1" customWidth="1"/>
    <col min="446" max="446" width="6.6328125" bestFit="1" customWidth="1"/>
    <col min="447" max="447" width="9.08984375" bestFit="1" customWidth="1"/>
    <col min="448" max="448" width="6.6328125" bestFit="1" customWidth="1"/>
    <col min="449" max="449" width="9.08984375" bestFit="1" customWidth="1"/>
    <col min="450" max="450" width="6.6328125" bestFit="1" customWidth="1"/>
    <col min="451" max="451" width="4.81640625" bestFit="1" customWidth="1"/>
    <col min="452" max="452" width="9.08984375" bestFit="1" customWidth="1"/>
    <col min="453" max="453" width="6.6328125" bestFit="1" customWidth="1"/>
    <col min="454" max="454" width="9.08984375" bestFit="1" customWidth="1"/>
    <col min="455" max="455" width="6.6328125" bestFit="1" customWidth="1"/>
    <col min="456" max="456" width="9.08984375" bestFit="1" customWidth="1"/>
    <col min="457" max="457" width="6.6328125" bestFit="1" customWidth="1"/>
    <col min="458" max="458" width="9.08984375" bestFit="1" customWidth="1"/>
    <col min="459" max="459" width="6.6328125" bestFit="1" customWidth="1"/>
    <col min="460" max="460" width="9.08984375" bestFit="1" customWidth="1"/>
    <col min="461" max="461" width="6.6328125" bestFit="1" customWidth="1"/>
    <col min="462" max="462" width="9.08984375" bestFit="1" customWidth="1"/>
    <col min="463" max="463" width="6.6328125" bestFit="1" customWidth="1"/>
    <col min="464" max="464" width="9.08984375" bestFit="1" customWidth="1"/>
    <col min="465" max="465" width="6.6328125" bestFit="1" customWidth="1"/>
    <col min="466" max="466" width="9.08984375" bestFit="1" customWidth="1"/>
    <col min="467" max="467" width="6.6328125" bestFit="1" customWidth="1"/>
    <col min="468" max="468" width="9.08984375" bestFit="1" customWidth="1"/>
    <col min="469" max="469" width="6.6328125" bestFit="1" customWidth="1"/>
    <col min="470" max="470" width="9.08984375" bestFit="1" customWidth="1"/>
    <col min="471" max="471" width="6.6328125" bestFit="1" customWidth="1"/>
    <col min="472" max="472" width="9.08984375" bestFit="1" customWidth="1"/>
    <col min="473" max="473" width="6.6328125" bestFit="1" customWidth="1"/>
    <col min="474" max="474" width="9.08984375" bestFit="1" customWidth="1"/>
    <col min="475" max="475" width="6.6328125" bestFit="1" customWidth="1"/>
    <col min="476" max="476" width="9.08984375" bestFit="1" customWidth="1"/>
    <col min="477" max="477" width="6.6328125" bestFit="1" customWidth="1"/>
    <col min="478" max="478" width="9.08984375" bestFit="1" customWidth="1"/>
    <col min="479" max="479" width="5.6328125" bestFit="1" customWidth="1"/>
    <col min="480" max="490" width="4.81640625" bestFit="1" customWidth="1"/>
    <col min="491" max="491" width="8.54296875" bestFit="1" customWidth="1"/>
    <col min="492" max="492" width="10.7265625" bestFit="1" customWidth="1"/>
    <col min="493" max="493" width="9.08984375" bestFit="1" customWidth="1"/>
    <col min="494" max="494" width="6.6328125" bestFit="1" customWidth="1"/>
    <col min="495" max="495" width="9.08984375" bestFit="1" customWidth="1"/>
    <col min="496" max="496" width="7.54296875" bestFit="1" customWidth="1"/>
    <col min="497" max="497" width="6.6328125" bestFit="1" customWidth="1"/>
    <col min="498" max="498" width="9.08984375" bestFit="1" customWidth="1"/>
    <col min="499" max="499" width="6.6328125" bestFit="1" customWidth="1"/>
    <col min="500" max="501" width="9.08984375" bestFit="1" customWidth="1"/>
    <col min="502" max="502" width="6.6328125" bestFit="1" customWidth="1"/>
    <col min="503" max="504" width="9.08984375" bestFit="1" customWidth="1"/>
    <col min="505" max="505" width="6.6328125" bestFit="1" customWidth="1"/>
    <col min="506" max="507" width="9.08984375" bestFit="1" customWidth="1"/>
    <col min="508" max="508" width="6.6328125" bestFit="1" customWidth="1"/>
    <col min="509" max="509" width="9.08984375" bestFit="1" customWidth="1"/>
    <col min="510" max="510" width="6.6328125" bestFit="1" customWidth="1"/>
    <col min="511" max="512" width="9.08984375" bestFit="1" customWidth="1"/>
    <col min="513" max="513" width="6.6328125" bestFit="1" customWidth="1"/>
    <col min="514" max="514" width="9.08984375" bestFit="1" customWidth="1"/>
    <col min="515" max="515" width="6.6328125" bestFit="1" customWidth="1"/>
    <col min="516" max="517" width="9.08984375" bestFit="1" customWidth="1"/>
    <col min="518" max="518" width="6.6328125" bestFit="1" customWidth="1"/>
    <col min="519" max="519" width="9.08984375" bestFit="1" customWidth="1"/>
    <col min="520" max="520" width="7.54296875" bestFit="1" customWidth="1"/>
    <col min="521" max="521" width="6.6328125" bestFit="1" customWidth="1"/>
    <col min="522" max="523" width="9.08984375" bestFit="1" customWidth="1"/>
    <col min="524" max="524" width="6.6328125" bestFit="1" customWidth="1"/>
    <col min="525" max="525" width="9.08984375" bestFit="1" customWidth="1"/>
    <col min="526" max="526" width="6.6328125" bestFit="1" customWidth="1"/>
    <col min="527" max="528" width="9.08984375" bestFit="1" customWidth="1"/>
    <col min="529" max="529" width="6.6328125" bestFit="1" customWidth="1"/>
    <col min="530" max="531" width="9.08984375" bestFit="1" customWidth="1"/>
    <col min="532" max="532" width="6.6328125" bestFit="1" customWidth="1"/>
    <col min="533" max="533" width="7.54296875" bestFit="1" customWidth="1"/>
    <col min="534" max="534" width="6.6328125" bestFit="1" customWidth="1"/>
    <col min="535" max="536" width="9.08984375" bestFit="1" customWidth="1"/>
    <col min="537" max="537" width="6.6328125" bestFit="1" customWidth="1"/>
    <col min="538" max="539" width="9.08984375" bestFit="1" customWidth="1"/>
    <col min="540" max="540" width="6.6328125" bestFit="1" customWidth="1"/>
    <col min="541" max="542" width="9.08984375" bestFit="1" customWidth="1"/>
    <col min="543" max="543" width="6.6328125" bestFit="1" customWidth="1"/>
    <col min="544" max="545" width="9.08984375" bestFit="1" customWidth="1"/>
    <col min="546" max="546" width="6.6328125" bestFit="1" customWidth="1"/>
    <col min="547" max="547" width="9.08984375" bestFit="1" customWidth="1"/>
    <col min="548" max="548" width="4.81640625" bestFit="1" customWidth="1"/>
    <col min="549" max="549" width="7.54296875" bestFit="1" customWidth="1"/>
    <col min="550" max="550" width="4.81640625" bestFit="1" customWidth="1"/>
    <col min="551" max="551" width="7.54296875" bestFit="1" customWidth="1"/>
    <col min="552" max="552" width="9.08984375" bestFit="1" customWidth="1"/>
    <col min="553" max="553" width="6.6328125" bestFit="1" customWidth="1"/>
    <col min="554" max="555" width="9.08984375" bestFit="1" customWidth="1"/>
    <col min="556" max="556" width="6.6328125" bestFit="1" customWidth="1"/>
    <col min="557" max="557" width="9.08984375" bestFit="1" customWidth="1"/>
    <col min="558" max="558" width="7.54296875" bestFit="1" customWidth="1"/>
    <col min="559" max="559" width="6.6328125" bestFit="1" customWidth="1"/>
    <col min="560" max="561" width="9.08984375" bestFit="1" customWidth="1"/>
    <col min="562" max="562" width="6.6328125" bestFit="1" customWidth="1"/>
    <col min="563" max="563" width="7.54296875" bestFit="1" customWidth="1"/>
    <col min="564" max="564" width="4.6328125" bestFit="1" customWidth="1"/>
    <col min="565" max="565" width="7.54296875" bestFit="1" customWidth="1"/>
    <col min="566" max="566" width="9.08984375" bestFit="1" customWidth="1"/>
    <col min="567" max="567" width="6.6328125" bestFit="1" customWidth="1"/>
    <col min="568" max="569" width="9.08984375" bestFit="1" customWidth="1"/>
    <col min="570" max="570" width="6.6328125" bestFit="1" customWidth="1"/>
    <col min="571" max="571" width="9.08984375" bestFit="1" customWidth="1"/>
    <col min="572" max="572" width="6.6328125" bestFit="1" customWidth="1"/>
    <col min="573" max="573" width="9.08984375" bestFit="1" customWidth="1"/>
    <col min="574" max="574" width="5.6328125" bestFit="1" customWidth="1"/>
    <col min="575" max="575" width="8.54296875" bestFit="1" customWidth="1"/>
    <col min="576" max="576" width="9.08984375" bestFit="1" customWidth="1"/>
    <col min="577" max="577" width="6.6328125" bestFit="1" customWidth="1"/>
    <col min="578" max="579" width="9.08984375" bestFit="1" customWidth="1"/>
    <col min="580" max="580" width="6.6328125" bestFit="1" customWidth="1"/>
    <col min="581" max="582" width="9.08984375" bestFit="1" customWidth="1"/>
    <col min="583" max="583" width="6.6328125" bestFit="1" customWidth="1"/>
    <col min="584" max="584" width="9.08984375" bestFit="1" customWidth="1"/>
    <col min="585" max="585" width="6.6328125" bestFit="1" customWidth="1"/>
    <col min="586" max="587" width="9.08984375" bestFit="1" customWidth="1"/>
    <col min="588" max="588" width="6.6328125" bestFit="1" customWidth="1"/>
    <col min="589" max="589" width="7.54296875" bestFit="1" customWidth="1"/>
    <col min="590" max="590" width="9.08984375" bestFit="1" customWidth="1"/>
    <col min="591" max="591" width="6.6328125" bestFit="1" customWidth="1"/>
    <col min="592" max="592" width="7.54296875" bestFit="1" customWidth="1"/>
    <col min="593" max="593" width="9.08984375" bestFit="1" customWidth="1"/>
    <col min="594" max="594" width="6.6328125" bestFit="1" customWidth="1"/>
    <col min="595" max="595" width="9.08984375" bestFit="1" customWidth="1"/>
    <col min="596" max="596" width="6.6328125" bestFit="1" customWidth="1"/>
    <col min="597" max="597" width="9.08984375" bestFit="1" customWidth="1"/>
    <col min="598" max="598" width="6.6328125" bestFit="1" customWidth="1"/>
    <col min="599" max="599" width="9.08984375" bestFit="1" customWidth="1"/>
    <col min="600" max="600" width="7.54296875" bestFit="1" customWidth="1"/>
    <col min="601" max="601" width="6.6328125" bestFit="1" customWidth="1"/>
    <col min="602" max="602" width="8.54296875" bestFit="1" customWidth="1"/>
    <col min="603" max="603" width="9.08984375" bestFit="1" customWidth="1"/>
    <col min="604" max="604" width="6.6328125" bestFit="1" customWidth="1"/>
    <col min="605" max="605" width="9.08984375" bestFit="1" customWidth="1"/>
    <col min="606" max="606" width="6.6328125" bestFit="1" customWidth="1"/>
    <col min="607" max="608" width="9.08984375" bestFit="1" customWidth="1"/>
    <col min="609" max="609" width="6.6328125" bestFit="1" customWidth="1"/>
    <col min="610" max="610" width="7.54296875" bestFit="1" customWidth="1"/>
    <col min="611" max="611" width="9.08984375" bestFit="1" customWidth="1"/>
    <col min="612" max="612" width="6.6328125" bestFit="1" customWidth="1"/>
    <col min="613" max="614" width="9.08984375" bestFit="1" customWidth="1"/>
    <col min="615" max="615" width="6.6328125" bestFit="1" customWidth="1"/>
    <col min="616" max="617" width="9.08984375" bestFit="1" customWidth="1"/>
    <col min="618" max="618" width="6.6328125" bestFit="1" customWidth="1"/>
    <col min="619" max="620" width="9.08984375" bestFit="1" customWidth="1"/>
    <col min="621" max="621" width="6.6328125" bestFit="1" customWidth="1"/>
    <col min="622" max="622" width="7.54296875" bestFit="1" customWidth="1"/>
    <col min="623" max="623" width="6.6328125" bestFit="1" customWidth="1"/>
    <col min="624" max="625" width="9.08984375" bestFit="1" customWidth="1"/>
    <col min="626" max="626" width="6.6328125" bestFit="1" customWidth="1"/>
    <col min="627" max="628" width="9.08984375" bestFit="1" customWidth="1"/>
    <col min="629" max="629" width="6.6328125" bestFit="1" customWidth="1"/>
    <col min="630" max="630" width="9.08984375" bestFit="1" customWidth="1"/>
    <col min="631" max="631" width="6.6328125" bestFit="1" customWidth="1"/>
    <col min="632" max="633" width="9.08984375" bestFit="1" customWidth="1"/>
    <col min="634" max="634" width="6.6328125" bestFit="1" customWidth="1"/>
    <col min="635" max="636" width="9.08984375" bestFit="1" customWidth="1"/>
    <col min="637" max="637" width="6.6328125" bestFit="1" customWidth="1"/>
    <col min="638" max="638" width="9.08984375" bestFit="1" customWidth="1"/>
    <col min="639" max="639" width="7.54296875" bestFit="1" customWidth="1"/>
    <col min="640" max="640" width="6.6328125" bestFit="1" customWidth="1"/>
    <col min="641" max="641" width="7.54296875" bestFit="1" customWidth="1"/>
    <col min="642" max="642" width="9.08984375" bestFit="1" customWidth="1"/>
    <col min="643" max="643" width="6.6328125" bestFit="1" customWidth="1"/>
    <col min="644" max="644" width="9.08984375" bestFit="1" customWidth="1"/>
    <col min="645" max="645" width="6.6328125" bestFit="1" customWidth="1"/>
    <col min="646" max="647" width="9.08984375" bestFit="1" customWidth="1"/>
    <col min="648" max="648" width="6.6328125" bestFit="1" customWidth="1"/>
    <col min="649" max="650" width="9.08984375" bestFit="1" customWidth="1"/>
    <col min="651" max="651" width="6.6328125" bestFit="1" customWidth="1"/>
    <col min="652" max="653" width="9.08984375" bestFit="1" customWidth="1"/>
    <col min="654" max="654" width="6.6328125" bestFit="1" customWidth="1"/>
    <col min="655" max="656" width="9.08984375" bestFit="1" customWidth="1"/>
    <col min="657" max="657" width="6.6328125" bestFit="1" customWidth="1"/>
    <col min="658" max="658" width="9.08984375" bestFit="1" customWidth="1"/>
    <col min="659" max="659" width="6.6328125" bestFit="1" customWidth="1"/>
    <col min="660" max="661" width="9.08984375" bestFit="1" customWidth="1"/>
    <col min="662" max="662" width="6.6328125" bestFit="1" customWidth="1"/>
    <col min="663" max="664" width="9.08984375" bestFit="1" customWidth="1"/>
    <col min="665" max="665" width="6.6328125" bestFit="1" customWidth="1"/>
    <col min="666" max="666" width="9.08984375" bestFit="1" customWidth="1"/>
    <col min="667" max="667" width="6.6328125" bestFit="1" customWidth="1"/>
    <col min="668" max="669" width="9.08984375" bestFit="1" customWidth="1"/>
    <col min="670" max="670" width="6.6328125" bestFit="1" customWidth="1"/>
    <col min="671" max="672" width="9.08984375" bestFit="1" customWidth="1"/>
    <col min="673" max="673" width="6.6328125" bestFit="1" customWidth="1"/>
    <col min="674" max="674" width="9.08984375" bestFit="1" customWidth="1"/>
    <col min="675" max="675" width="6.6328125" bestFit="1" customWidth="1"/>
    <col min="676" max="677" width="9.08984375" bestFit="1" customWidth="1"/>
    <col min="678" max="678" width="4.81640625" bestFit="1" customWidth="1"/>
    <col min="679" max="680" width="7.54296875" bestFit="1" customWidth="1"/>
    <col min="681" max="681" width="6.6328125" bestFit="1" customWidth="1"/>
    <col min="682" max="682" width="7.54296875" bestFit="1" customWidth="1"/>
    <col min="683" max="683" width="4.81640625" bestFit="1" customWidth="1"/>
    <col min="684" max="684" width="7.54296875" bestFit="1" customWidth="1"/>
    <col min="685" max="685" width="9.08984375" bestFit="1" customWidth="1"/>
    <col min="686" max="686" width="6.6328125" bestFit="1" customWidth="1"/>
    <col min="687" max="688" width="9.08984375" bestFit="1" customWidth="1"/>
    <col min="689" max="689" width="6.6328125" bestFit="1" customWidth="1"/>
    <col min="690" max="691" width="9.08984375" bestFit="1" customWidth="1"/>
    <col min="692" max="692" width="4.81640625" bestFit="1" customWidth="1"/>
    <col min="693" max="693" width="7.54296875" bestFit="1" customWidth="1"/>
    <col min="694" max="694" width="6.6328125" bestFit="1" customWidth="1"/>
    <col min="695" max="695" width="9.08984375" bestFit="1" customWidth="1"/>
    <col min="696" max="696" width="7.54296875" bestFit="1" customWidth="1"/>
    <col min="697" max="697" width="6.6328125" bestFit="1" customWidth="1"/>
    <col min="698" max="699" width="9.08984375" bestFit="1" customWidth="1"/>
    <col min="700" max="700" width="6.6328125" bestFit="1" customWidth="1"/>
    <col min="701" max="702" width="9.08984375" bestFit="1" customWidth="1"/>
    <col min="703" max="703" width="6.6328125" bestFit="1" customWidth="1"/>
    <col min="704" max="705" width="9.08984375" bestFit="1" customWidth="1"/>
    <col min="706" max="706" width="6.6328125" bestFit="1" customWidth="1"/>
    <col min="707" max="708" width="9.08984375" bestFit="1" customWidth="1"/>
    <col min="709" max="709" width="6.6328125" bestFit="1" customWidth="1"/>
    <col min="710" max="711" width="9.08984375" bestFit="1" customWidth="1"/>
    <col min="712" max="712" width="6.6328125" bestFit="1" customWidth="1"/>
    <col min="713" max="714" width="9.08984375" bestFit="1" customWidth="1"/>
    <col min="715" max="715" width="6.6328125" bestFit="1" customWidth="1"/>
    <col min="716" max="717" width="9.08984375" bestFit="1" customWidth="1"/>
    <col min="718" max="718" width="6.6328125" bestFit="1" customWidth="1"/>
    <col min="719" max="719" width="4.81640625" bestFit="1" customWidth="1"/>
    <col min="720" max="721" width="9.08984375" bestFit="1" customWidth="1"/>
    <col min="722" max="722" width="6.6328125" bestFit="1" customWidth="1"/>
    <col min="723" max="724" width="9.08984375" bestFit="1" customWidth="1"/>
    <col min="725" max="725" width="6.6328125" bestFit="1" customWidth="1"/>
    <col min="726" max="726" width="7.54296875" bestFit="1" customWidth="1"/>
    <col min="727" max="727" width="9.08984375" bestFit="1" customWidth="1"/>
    <col min="728" max="728" width="6.6328125" bestFit="1" customWidth="1"/>
    <col min="729" max="730" width="9.08984375" bestFit="1" customWidth="1"/>
    <col min="731" max="731" width="6.6328125" bestFit="1" customWidth="1"/>
    <col min="732" max="732" width="7.54296875" bestFit="1" customWidth="1"/>
    <col min="733" max="733" width="9.08984375" bestFit="1" customWidth="1"/>
    <col min="734" max="734" width="6.6328125" bestFit="1" customWidth="1"/>
    <col min="735" max="736" width="9.08984375" bestFit="1" customWidth="1"/>
    <col min="737" max="737" width="6.6328125" bestFit="1" customWidth="1"/>
    <col min="738" max="739" width="9.08984375" bestFit="1" customWidth="1"/>
    <col min="740" max="740" width="6.6328125" bestFit="1" customWidth="1"/>
    <col min="741" max="742" width="9.08984375" bestFit="1" customWidth="1"/>
    <col min="743" max="743" width="6.6328125" bestFit="1" customWidth="1"/>
    <col min="744" max="745" width="9.08984375" bestFit="1" customWidth="1"/>
    <col min="746" max="746" width="6.6328125" bestFit="1" customWidth="1"/>
    <col min="747" max="748" width="9.08984375" bestFit="1" customWidth="1"/>
    <col min="749" max="749" width="6.6328125" bestFit="1" customWidth="1"/>
    <col min="750" max="750" width="7.54296875" bestFit="1" customWidth="1"/>
    <col min="751" max="751" width="9.08984375" bestFit="1" customWidth="1"/>
    <col min="752" max="752" width="6.6328125" bestFit="1" customWidth="1"/>
    <col min="753" max="754" width="9.08984375" bestFit="1" customWidth="1"/>
    <col min="755" max="755" width="6.6328125" bestFit="1" customWidth="1"/>
    <col min="756" max="757" width="9.08984375" bestFit="1" customWidth="1"/>
    <col min="758" max="758" width="6.6328125" bestFit="1" customWidth="1"/>
    <col min="759" max="760" width="9.08984375" bestFit="1" customWidth="1"/>
    <col min="761" max="761" width="6.6328125" bestFit="1" customWidth="1"/>
    <col min="762" max="762" width="9.08984375" bestFit="1" customWidth="1"/>
    <col min="763" max="763" width="6.6328125" bestFit="1" customWidth="1"/>
    <col min="764" max="764" width="9.08984375" bestFit="1" customWidth="1"/>
    <col min="765" max="765" width="6.6328125" bestFit="1" customWidth="1"/>
    <col min="766" max="766" width="9.08984375" bestFit="1" customWidth="1"/>
    <col min="767" max="767" width="6.6328125" bestFit="1" customWidth="1"/>
    <col min="768" max="768" width="9.08984375" bestFit="1" customWidth="1"/>
    <col min="769" max="769" width="4.81640625" bestFit="1" customWidth="1"/>
    <col min="770" max="770" width="7.54296875" bestFit="1" customWidth="1"/>
    <col min="771" max="771" width="6.6328125" bestFit="1" customWidth="1"/>
    <col min="772" max="772" width="9.08984375" bestFit="1" customWidth="1"/>
    <col min="773" max="773" width="6.6328125" bestFit="1" customWidth="1"/>
    <col min="774" max="774" width="9.08984375" bestFit="1" customWidth="1"/>
    <col min="775" max="775" width="6.6328125" bestFit="1" customWidth="1"/>
    <col min="776" max="776" width="9.08984375" bestFit="1" customWidth="1"/>
    <col min="777" max="777" width="6.6328125" bestFit="1" customWidth="1"/>
    <col min="778" max="778" width="9.08984375" bestFit="1" customWidth="1"/>
    <col min="779" max="780" width="4.81640625" bestFit="1" customWidth="1"/>
    <col min="781" max="781" width="7.54296875" bestFit="1" customWidth="1"/>
    <col min="782" max="782" width="4.81640625" bestFit="1" customWidth="1"/>
    <col min="783" max="783" width="7.54296875" bestFit="1" customWidth="1"/>
    <col min="784" max="784" width="6.6328125" bestFit="1" customWidth="1"/>
    <col min="785" max="785" width="9.08984375" bestFit="1" customWidth="1"/>
    <col min="786" max="786" width="8.54296875" bestFit="1" customWidth="1"/>
    <col min="787" max="787" width="10.7265625" bestFit="1" customWidth="1"/>
    <col min="788" max="788" width="6.6328125" bestFit="1" customWidth="1"/>
    <col min="789" max="790" width="9.08984375" bestFit="1" customWidth="1"/>
    <col min="791" max="791" width="6.6328125" bestFit="1" customWidth="1"/>
    <col min="792" max="792" width="9.08984375" bestFit="1" customWidth="1"/>
    <col min="793" max="793" width="8.54296875" bestFit="1" customWidth="1"/>
    <col min="794" max="794" width="9.08984375" bestFit="1" customWidth="1"/>
    <col min="795" max="795" width="6.6328125" bestFit="1" customWidth="1"/>
    <col min="796" max="798" width="9.08984375" bestFit="1" customWidth="1"/>
    <col min="799" max="799" width="6.6328125" bestFit="1" customWidth="1"/>
    <col min="800" max="802" width="9.08984375" bestFit="1" customWidth="1"/>
    <col min="803" max="803" width="8.81640625" bestFit="1" customWidth="1"/>
    <col min="804" max="805" width="9.08984375" bestFit="1" customWidth="1"/>
    <col min="806" max="806" width="6.6328125" bestFit="1" customWidth="1"/>
    <col min="807" max="807" width="8.54296875" bestFit="1" customWidth="1"/>
    <col min="808" max="809" width="9.08984375" bestFit="1" customWidth="1"/>
    <col min="810" max="810" width="8.81640625" bestFit="1" customWidth="1"/>
    <col min="811" max="811" width="9.08984375" bestFit="1" customWidth="1"/>
    <col min="812" max="812" width="7.54296875" bestFit="1" customWidth="1"/>
    <col min="813" max="813" width="9.08984375" bestFit="1" customWidth="1"/>
    <col min="814" max="814" width="6.6328125" bestFit="1" customWidth="1"/>
    <col min="815" max="815" width="9.08984375" bestFit="1" customWidth="1"/>
    <col min="816" max="816" width="7.54296875" bestFit="1" customWidth="1"/>
    <col min="817" max="817" width="9.08984375" bestFit="1" customWidth="1"/>
    <col min="818" max="818" width="6.6328125" bestFit="1" customWidth="1"/>
    <col min="819" max="820" width="9.08984375" bestFit="1" customWidth="1"/>
    <col min="821" max="821" width="6.6328125" bestFit="1" customWidth="1"/>
    <col min="822" max="823" width="9.08984375" bestFit="1" customWidth="1"/>
    <col min="824" max="824" width="6.6328125" bestFit="1" customWidth="1"/>
    <col min="825" max="826" width="9.08984375" bestFit="1" customWidth="1"/>
    <col min="827" max="827" width="7.54296875" bestFit="1" customWidth="1"/>
    <col min="828" max="828" width="6.6328125" bestFit="1" customWidth="1"/>
    <col min="829" max="829" width="9.08984375" bestFit="1" customWidth="1"/>
    <col min="830" max="830" width="8.54296875" bestFit="1" customWidth="1"/>
    <col min="831" max="831" width="9.08984375" bestFit="1" customWidth="1"/>
    <col min="832" max="832" width="6.6328125" bestFit="1" customWidth="1"/>
    <col min="833" max="834" width="9.08984375" bestFit="1" customWidth="1"/>
    <col min="835" max="835" width="6.6328125" bestFit="1" customWidth="1"/>
    <col min="836" max="838" width="9.08984375" bestFit="1" customWidth="1"/>
    <col min="839" max="839" width="6.6328125" bestFit="1" customWidth="1"/>
    <col min="840" max="840" width="9.08984375" bestFit="1" customWidth="1"/>
    <col min="841" max="841" width="7.54296875" bestFit="1" customWidth="1"/>
    <col min="842" max="842" width="9.08984375" bestFit="1" customWidth="1"/>
    <col min="843" max="843" width="6.6328125" bestFit="1" customWidth="1"/>
    <col min="844" max="844" width="7.54296875" bestFit="1" customWidth="1"/>
    <col min="845" max="846" width="9.08984375" bestFit="1" customWidth="1"/>
    <col min="847" max="847" width="6.6328125" bestFit="1" customWidth="1"/>
    <col min="848" max="850" width="9.08984375" bestFit="1" customWidth="1"/>
    <col min="851" max="851" width="6.6328125" bestFit="1" customWidth="1"/>
    <col min="852" max="854" width="9.08984375" bestFit="1" customWidth="1"/>
    <col min="855" max="855" width="6.6328125" bestFit="1" customWidth="1"/>
    <col min="856" max="856" width="9.08984375" bestFit="1" customWidth="1"/>
    <col min="857" max="857" width="7.54296875" bestFit="1" customWidth="1"/>
    <col min="858" max="858" width="6.6328125" bestFit="1" customWidth="1"/>
    <col min="859" max="859" width="7.54296875" bestFit="1" customWidth="1"/>
    <col min="860" max="861" width="9.08984375" bestFit="1" customWidth="1"/>
    <col min="862" max="862" width="6.6328125" bestFit="1" customWidth="1"/>
    <col min="863" max="865" width="9.08984375" bestFit="1" customWidth="1"/>
    <col min="866" max="866" width="6.6328125" bestFit="1" customWidth="1"/>
    <col min="867" max="868" width="9.08984375" bestFit="1" customWidth="1"/>
    <col min="869" max="869" width="6.6328125" bestFit="1" customWidth="1"/>
    <col min="870" max="872" width="9.08984375" bestFit="1" customWidth="1"/>
    <col min="873" max="873" width="8.81640625" bestFit="1" customWidth="1"/>
    <col min="874" max="876" width="9.08984375" bestFit="1" customWidth="1"/>
    <col min="877" max="877" width="6.6328125" bestFit="1" customWidth="1"/>
    <col min="878" max="879" width="9.08984375" bestFit="1" customWidth="1"/>
    <col min="880" max="880" width="7.54296875" bestFit="1" customWidth="1"/>
    <col min="881" max="881" width="6.6328125" bestFit="1" customWidth="1"/>
    <col min="882" max="882" width="9.08984375" bestFit="1" customWidth="1"/>
    <col min="883" max="883" width="7.54296875" bestFit="1" customWidth="1"/>
    <col min="884" max="884" width="9.08984375" bestFit="1" customWidth="1"/>
    <col min="885" max="885" width="6.6328125" bestFit="1" customWidth="1"/>
    <col min="886" max="887" width="9.08984375" bestFit="1" customWidth="1"/>
    <col min="888" max="888" width="6.6328125" bestFit="1" customWidth="1"/>
    <col min="889" max="891" width="9.08984375" bestFit="1" customWidth="1"/>
    <col min="892" max="892" width="6.6328125" bestFit="1" customWidth="1"/>
    <col min="893" max="895" width="9.08984375" bestFit="1" customWidth="1"/>
    <col min="896" max="896" width="6.6328125" bestFit="1" customWidth="1"/>
    <col min="897" max="899" width="9.08984375" bestFit="1" customWidth="1"/>
    <col min="900" max="900" width="6.6328125" bestFit="1" customWidth="1"/>
    <col min="901" max="903" width="9.08984375" bestFit="1" customWidth="1"/>
    <col min="904" max="904" width="6.6328125" bestFit="1" customWidth="1"/>
    <col min="905" max="906" width="9.08984375" bestFit="1" customWidth="1"/>
    <col min="907" max="907" width="6.6328125" bestFit="1" customWidth="1"/>
    <col min="908" max="910" width="9.08984375" bestFit="1" customWidth="1"/>
    <col min="911" max="911" width="6.6328125" bestFit="1" customWidth="1"/>
    <col min="912" max="912" width="7.54296875" bestFit="1" customWidth="1"/>
    <col min="913" max="914" width="9.08984375" bestFit="1" customWidth="1"/>
    <col min="915" max="915" width="6.6328125" bestFit="1" customWidth="1"/>
    <col min="916" max="917" width="9.08984375" bestFit="1" customWidth="1"/>
    <col min="918" max="918" width="6.6328125" bestFit="1" customWidth="1"/>
    <col min="919" max="921" width="9.08984375" bestFit="1" customWidth="1"/>
    <col min="922" max="922" width="6.6328125" bestFit="1" customWidth="1"/>
    <col min="923" max="925" width="9.08984375" bestFit="1" customWidth="1"/>
    <col min="926" max="926" width="6.6328125" bestFit="1" customWidth="1"/>
    <col min="927" max="928" width="9.08984375" bestFit="1" customWidth="1"/>
    <col min="929" max="929" width="6.6328125" bestFit="1" customWidth="1"/>
    <col min="930" max="932" width="9.08984375" bestFit="1" customWidth="1"/>
    <col min="933" max="933" width="6.6328125" bestFit="1" customWidth="1"/>
    <col min="934" max="934" width="9.08984375" bestFit="1" customWidth="1"/>
    <col min="935" max="936" width="7.54296875" bestFit="1" customWidth="1"/>
    <col min="937" max="937" width="6.6328125" bestFit="1" customWidth="1"/>
    <col min="938" max="938" width="9.08984375" bestFit="1" customWidth="1"/>
    <col min="939" max="939" width="7.54296875" bestFit="1" customWidth="1"/>
    <col min="940" max="940" width="6.6328125" bestFit="1" customWidth="1"/>
    <col min="941" max="941" width="9.08984375" bestFit="1" customWidth="1"/>
    <col min="942" max="942" width="7.54296875" bestFit="1" customWidth="1"/>
    <col min="943" max="943" width="9.08984375" bestFit="1" customWidth="1"/>
    <col min="944" max="944" width="6.6328125" bestFit="1" customWidth="1"/>
    <col min="945" max="947" width="9.08984375" bestFit="1" customWidth="1"/>
    <col min="948" max="948" width="6.6328125" bestFit="1" customWidth="1"/>
    <col min="949" max="951" width="9.08984375" bestFit="1" customWidth="1"/>
    <col min="952" max="952" width="6.6328125" bestFit="1" customWidth="1"/>
    <col min="953" max="953" width="9.08984375" bestFit="1" customWidth="1"/>
    <col min="954" max="954" width="7.54296875" bestFit="1" customWidth="1"/>
    <col min="955" max="955" width="6.6328125" bestFit="1" customWidth="1"/>
    <col min="956" max="957" width="9.08984375" bestFit="1" customWidth="1"/>
    <col min="958" max="958" width="7.54296875" bestFit="1" customWidth="1"/>
    <col min="959" max="959" width="6.6328125" bestFit="1" customWidth="1"/>
    <col min="960" max="962" width="9.08984375" bestFit="1" customWidth="1"/>
    <col min="963" max="963" width="6.6328125" bestFit="1" customWidth="1"/>
    <col min="964" max="966" width="9.08984375" bestFit="1" customWidth="1"/>
    <col min="967" max="967" width="6.6328125" bestFit="1" customWidth="1"/>
    <col min="968" max="970" width="9.08984375" bestFit="1" customWidth="1"/>
    <col min="971" max="971" width="6.6328125" bestFit="1" customWidth="1"/>
    <col min="972" max="972" width="6.1796875" bestFit="1" customWidth="1"/>
    <col min="973" max="974" width="9.08984375" bestFit="1" customWidth="1"/>
    <col min="975" max="975" width="6.6328125" bestFit="1" customWidth="1"/>
    <col min="976" max="978" width="9.08984375" bestFit="1" customWidth="1"/>
    <col min="979" max="979" width="6.6328125" bestFit="1" customWidth="1"/>
    <col min="980" max="982" width="9.08984375" bestFit="1" customWidth="1"/>
    <col min="983" max="983" width="6.6328125" bestFit="1" customWidth="1"/>
    <col min="984" max="986" width="9.08984375" bestFit="1" customWidth="1"/>
    <col min="987" max="987" width="6.6328125" bestFit="1" customWidth="1"/>
    <col min="988" max="988" width="9.08984375" bestFit="1" customWidth="1"/>
    <col min="989" max="989" width="6.6328125" bestFit="1" customWidth="1"/>
    <col min="990" max="992" width="9.08984375" bestFit="1" customWidth="1"/>
    <col min="993" max="993" width="6.6328125" bestFit="1" customWidth="1"/>
    <col min="994" max="996" width="9.08984375" bestFit="1" customWidth="1"/>
    <col min="997" max="997" width="6.6328125" bestFit="1" customWidth="1"/>
    <col min="998" max="999" width="7.54296875" bestFit="1" customWidth="1"/>
    <col min="1000" max="1000" width="9.08984375" bestFit="1" customWidth="1"/>
    <col min="1001" max="1001" width="6.6328125" bestFit="1" customWidth="1"/>
    <col min="1002" max="1004" width="9.08984375" bestFit="1" customWidth="1"/>
    <col min="1005" max="1005" width="6.6328125" bestFit="1" customWidth="1"/>
    <col min="1006" max="1006" width="9.08984375" bestFit="1" customWidth="1"/>
    <col min="1007" max="1007" width="7.54296875" bestFit="1" customWidth="1"/>
    <col min="1008" max="1008" width="9.08984375" bestFit="1" customWidth="1"/>
    <col min="1009" max="1009" width="6.6328125" bestFit="1" customWidth="1"/>
    <col min="1010" max="1012" width="9.08984375" bestFit="1" customWidth="1"/>
    <col min="1013" max="1013" width="6.6328125" bestFit="1" customWidth="1"/>
    <col min="1014" max="1016" width="9.08984375" bestFit="1" customWidth="1"/>
    <col min="1017" max="1017" width="6.6328125" bestFit="1" customWidth="1"/>
    <col min="1018" max="1018" width="7.54296875" bestFit="1" customWidth="1"/>
    <col min="1019" max="1020" width="9.08984375" bestFit="1" customWidth="1"/>
    <col min="1021" max="1021" width="6.6328125" bestFit="1" customWidth="1"/>
    <col min="1022" max="1024" width="9.08984375" bestFit="1" customWidth="1"/>
    <col min="1025" max="1025" width="6.6328125" bestFit="1" customWidth="1"/>
    <col min="1026" max="1028" width="9.08984375" bestFit="1" customWidth="1"/>
    <col min="1029" max="1029" width="6.6328125" bestFit="1" customWidth="1"/>
    <col min="1030" max="1030" width="9.08984375" bestFit="1" customWidth="1"/>
    <col min="1031" max="1031" width="7.54296875" bestFit="1" customWidth="1"/>
    <col min="1032" max="1032" width="9.08984375" bestFit="1" customWidth="1"/>
    <col min="1033" max="1033" width="6.6328125" bestFit="1" customWidth="1"/>
    <col min="1034" max="1036" width="9.08984375" bestFit="1" customWidth="1"/>
    <col min="1037" max="1037" width="6.6328125" bestFit="1" customWidth="1"/>
    <col min="1038" max="1040" width="9.08984375" bestFit="1" customWidth="1"/>
    <col min="1041" max="1041" width="6.6328125" bestFit="1" customWidth="1"/>
    <col min="1042" max="1044" width="9.08984375" bestFit="1" customWidth="1"/>
    <col min="1045" max="1045" width="6.6328125" bestFit="1" customWidth="1"/>
    <col min="1046" max="1047" width="9.08984375" bestFit="1" customWidth="1"/>
    <col min="1048" max="1048" width="6.6328125" bestFit="1" customWidth="1"/>
    <col min="1049" max="1050" width="9.08984375" bestFit="1" customWidth="1"/>
    <col min="1051" max="1051" width="6.6328125" bestFit="1" customWidth="1"/>
    <col min="1052" max="1053" width="9.08984375" bestFit="1" customWidth="1"/>
    <col min="1054" max="1054" width="6.6328125" bestFit="1" customWidth="1"/>
    <col min="1055" max="1056" width="9.08984375" bestFit="1" customWidth="1"/>
    <col min="1057" max="1057" width="6.6328125" bestFit="1" customWidth="1"/>
    <col min="1058" max="1058" width="9.08984375" bestFit="1" customWidth="1"/>
    <col min="1059" max="1059" width="7.54296875" bestFit="1" customWidth="1"/>
    <col min="1060" max="1060" width="6.6328125" bestFit="1" customWidth="1"/>
    <col min="1061" max="1062" width="9.08984375" bestFit="1" customWidth="1"/>
    <col min="1063" max="1063" width="6.6328125" bestFit="1" customWidth="1"/>
    <col min="1064" max="1065" width="9.08984375" bestFit="1" customWidth="1"/>
    <col min="1066" max="1066" width="6.6328125" bestFit="1" customWidth="1"/>
    <col min="1067" max="1068" width="9.08984375" bestFit="1" customWidth="1"/>
    <col min="1069" max="1069" width="6.6328125" bestFit="1" customWidth="1"/>
    <col min="1070" max="1071" width="9.08984375" bestFit="1" customWidth="1"/>
    <col min="1072" max="1072" width="6.6328125" bestFit="1" customWidth="1"/>
    <col min="1073" max="1073" width="9.08984375" bestFit="1" customWidth="1"/>
    <col min="1074" max="1074" width="6.6328125" bestFit="1" customWidth="1"/>
    <col min="1075" max="1075" width="9.08984375" bestFit="1" customWidth="1"/>
    <col min="1076" max="1076" width="7.54296875" bestFit="1" customWidth="1"/>
    <col min="1077" max="1077" width="6.6328125" bestFit="1" customWidth="1"/>
    <col min="1078" max="1078" width="9.08984375" bestFit="1" customWidth="1"/>
    <col min="1079" max="1079" width="7.54296875" bestFit="1" customWidth="1"/>
    <col min="1080" max="1080" width="6.6328125" bestFit="1" customWidth="1"/>
    <col min="1081" max="1082" width="9.08984375" bestFit="1" customWidth="1"/>
    <col min="1083" max="1083" width="8.54296875" bestFit="1" customWidth="1"/>
    <col min="1084" max="1084" width="10.7265625" bestFit="1" customWidth="1"/>
  </cols>
  <sheetData>
    <row r="7" spans="1:14">
      <c r="A7" s="11" t="s">
        <v>15</v>
      </c>
      <c r="B7" t="s">
        <v>351</v>
      </c>
    </row>
    <row r="8" spans="1:14">
      <c r="G8" s="11" t="s">
        <v>345</v>
      </c>
      <c r="H8" t="s">
        <v>348</v>
      </c>
      <c r="M8" s="11" t="s">
        <v>345</v>
      </c>
      <c r="N8" t="s">
        <v>349</v>
      </c>
    </row>
    <row r="9" spans="1:14">
      <c r="A9" s="11" t="s">
        <v>345</v>
      </c>
      <c r="B9" t="s">
        <v>348</v>
      </c>
      <c r="G9" s="12" t="s">
        <v>22</v>
      </c>
      <c r="H9">
        <v>55</v>
      </c>
      <c r="M9" s="12" t="s">
        <v>22</v>
      </c>
      <c r="N9">
        <v>55</v>
      </c>
    </row>
    <row r="10" spans="1:14">
      <c r="A10" s="12" t="s">
        <v>24</v>
      </c>
      <c r="B10">
        <v>59</v>
      </c>
      <c r="G10" s="12" t="s">
        <v>26</v>
      </c>
      <c r="H10">
        <v>220</v>
      </c>
      <c r="M10" s="12" t="s">
        <v>26</v>
      </c>
      <c r="N10">
        <v>220</v>
      </c>
    </row>
    <row r="11" spans="1:14">
      <c r="A11" s="12" t="s">
        <v>30</v>
      </c>
      <c r="B11">
        <v>58</v>
      </c>
      <c r="G11" s="12" t="s">
        <v>91</v>
      </c>
      <c r="H11">
        <v>22</v>
      </c>
      <c r="M11" s="12" t="s">
        <v>91</v>
      </c>
      <c r="N11">
        <v>22</v>
      </c>
    </row>
    <row r="12" spans="1:14">
      <c r="A12" s="12" t="s">
        <v>34</v>
      </c>
      <c r="B12">
        <v>58</v>
      </c>
      <c r="G12" s="12" t="s">
        <v>347</v>
      </c>
      <c r="H12">
        <v>297</v>
      </c>
      <c r="M12" s="12" t="s">
        <v>347</v>
      </c>
      <c r="N12">
        <v>297</v>
      </c>
    </row>
    <row r="13" spans="1:14">
      <c r="A13" s="12" t="s">
        <v>46</v>
      </c>
      <c r="B13">
        <v>25</v>
      </c>
    </row>
    <row r="14" spans="1:14">
      <c r="A14" s="12" t="s">
        <v>28</v>
      </c>
      <c r="B14">
        <v>37</v>
      </c>
    </row>
    <row r="15" spans="1:14">
      <c r="A15" s="12" t="s">
        <v>21</v>
      </c>
      <c r="B15">
        <v>42</v>
      </c>
    </row>
    <row r="16" spans="1:14">
      <c r="A16" s="12" t="s">
        <v>91</v>
      </c>
      <c r="B16">
        <v>18</v>
      </c>
    </row>
    <row r="17" spans="1:2">
      <c r="A17" s="12" t="s">
        <v>347</v>
      </c>
      <c r="B17">
        <v>297</v>
      </c>
    </row>
    <row r="22" spans="1:2">
      <c r="A22" s="11" t="s">
        <v>345</v>
      </c>
      <c r="B22" t="s">
        <v>350</v>
      </c>
    </row>
    <row r="23" spans="1:2">
      <c r="A23" s="12" t="s">
        <v>24</v>
      </c>
      <c r="B23">
        <v>3861.599999999999</v>
      </c>
    </row>
    <row r="24" spans="1:2">
      <c r="A24" s="12" t="s">
        <v>30</v>
      </c>
      <c r="B24">
        <v>3938.7000000000016</v>
      </c>
    </row>
    <row r="25" spans="1:2">
      <c r="A25" s="12" t="s">
        <v>34</v>
      </c>
      <c r="B25">
        <v>3940.5</v>
      </c>
    </row>
    <row r="26" spans="1:2">
      <c r="A26" s="12" t="s">
        <v>46</v>
      </c>
      <c r="B26">
        <v>1626.8000000000002</v>
      </c>
    </row>
    <row r="27" spans="1:2">
      <c r="A27" s="12" t="s">
        <v>28</v>
      </c>
      <c r="B27">
        <v>2556.5999999999995</v>
      </c>
    </row>
    <row r="28" spans="1:2">
      <c r="A28" s="12" t="s">
        <v>21</v>
      </c>
      <c r="B28">
        <v>2875.4</v>
      </c>
    </row>
    <row r="29" spans="1:2">
      <c r="A29" s="12" t="s">
        <v>91</v>
      </c>
      <c r="B29">
        <v>1233.9000000000001</v>
      </c>
    </row>
    <row r="30" spans="1:2">
      <c r="A30" s="12" t="s">
        <v>347</v>
      </c>
      <c r="B30">
        <v>20033.500000000004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E9A29-9501-4C9A-ACC0-4A42A4C2FC89}">
  <sheetPr>
    <tabColor rgb="FF7D40EC"/>
  </sheetPr>
  <dimension ref="A11:N45"/>
  <sheetViews>
    <sheetView zoomScale="86" zoomScaleNormal="86" workbookViewId="0">
      <selection activeCell="G45" sqref="G45"/>
    </sheetView>
  </sheetViews>
  <sheetFormatPr defaultRowHeight="14.5"/>
  <cols>
    <col min="1" max="1" width="21.08984375" bestFit="1" customWidth="1"/>
    <col min="2" max="3" width="18.1796875" bestFit="1" customWidth="1"/>
    <col min="5" max="5" width="13.26953125" bestFit="1" customWidth="1"/>
    <col min="6" max="6" width="18.1796875" bestFit="1" customWidth="1"/>
    <col min="7" max="7" width="18.26953125" bestFit="1" customWidth="1"/>
    <col min="8" max="8" width="21.08984375" bestFit="1" customWidth="1"/>
    <col min="9" max="9" width="18.453125" bestFit="1" customWidth="1"/>
    <col min="10" max="10" width="21.08984375" bestFit="1" customWidth="1"/>
    <col min="11" max="11" width="18.1796875" bestFit="1" customWidth="1"/>
  </cols>
  <sheetData>
    <row r="11" spans="1:14">
      <c r="G11" s="19"/>
    </row>
    <row r="12" spans="1:14">
      <c r="A12" s="11" t="s">
        <v>345</v>
      </c>
      <c r="B12" t="s">
        <v>348</v>
      </c>
      <c r="L12" t="s">
        <v>364</v>
      </c>
    </row>
    <row r="13" spans="1:14">
      <c r="A13" s="12" t="s">
        <v>24</v>
      </c>
      <c r="B13">
        <v>59</v>
      </c>
      <c r="N13" s="20"/>
    </row>
    <row r="14" spans="1:14">
      <c r="A14" s="12" t="s">
        <v>30</v>
      </c>
      <c r="B14">
        <v>58</v>
      </c>
      <c r="E14" s="11" t="s">
        <v>345</v>
      </c>
      <c r="F14" t="s">
        <v>348</v>
      </c>
    </row>
    <row r="15" spans="1:14">
      <c r="A15" s="12" t="s">
        <v>34</v>
      </c>
      <c r="B15">
        <v>58</v>
      </c>
      <c r="E15" s="12" t="s">
        <v>22</v>
      </c>
      <c r="F15">
        <v>55</v>
      </c>
      <c r="J15" s="11" t="s">
        <v>345</v>
      </c>
      <c r="K15" t="s">
        <v>349</v>
      </c>
    </row>
    <row r="16" spans="1:14">
      <c r="A16" s="12" t="s">
        <v>46</v>
      </c>
      <c r="B16">
        <v>25</v>
      </c>
      <c r="E16" s="12" t="s">
        <v>26</v>
      </c>
      <c r="F16">
        <v>220</v>
      </c>
      <c r="J16" s="12" t="s">
        <v>24</v>
      </c>
      <c r="K16">
        <v>59</v>
      </c>
    </row>
    <row r="17" spans="1:11">
      <c r="A17" s="12" t="s">
        <v>28</v>
      </c>
      <c r="B17">
        <v>37</v>
      </c>
      <c r="E17" s="12" t="s">
        <v>91</v>
      </c>
      <c r="F17">
        <v>22</v>
      </c>
      <c r="J17" s="12" t="s">
        <v>30</v>
      </c>
      <c r="K17">
        <v>58</v>
      </c>
    </row>
    <row r="18" spans="1:11">
      <c r="A18" s="12" t="s">
        <v>21</v>
      </c>
      <c r="B18">
        <v>42</v>
      </c>
      <c r="E18" s="12" t="s">
        <v>346</v>
      </c>
      <c r="J18" s="12" t="s">
        <v>34</v>
      </c>
      <c r="K18">
        <v>58</v>
      </c>
    </row>
    <row r="19" spans="1:11">
      <c r="A19" s="12" t="s">
        <v>91</v>
      </c>
      <c r="B19">
        <v>18</v>
      </c>
      <c r="E19" s="12" t="s">
        <v>347</v>
      </c>
      <c r="F19">
        <v>297</v>
      </c>
      <c r="J19" s="12" t="s">
        <v>46</v>
      </c>
      <c r="K19">
        <v>25</v>
      </c>
    </row>
    <row r="20" spans="1:11">
      <c r="A20" s="12" t="s">
        <v>346</v>
      </c>
      <c r="J20" s="12" t="s">
        <v>28</v>
      </c>
      <c r="K20">
        <v>37</v>
      </c>
    </row>
    <row r="21" spans="1:11">
      <c r="A21" s="12" t="s">
        <v>347</v>
      </c>
      <c r="B21">
        <v>297</v>
      </c>
      <c r="J21" s="12" t="s">
        <v>21</v>
      </c>
      <c r="K21">
        <v>42</v>
      </c>
    </row>
    <row r="22" spans="1:11">
      <c r="J22" s="12" t="s">
        <v>91</v>
      </c>
      <c r="K22">
        <v>18</v>
      </c>
    </row>
    <row r="23" spans="1:11">
      <c r="J23" s="12" t="s">
        <v>347</v>
      </c>
      <c r="K23">
        <v>297</v>
      </c>
    </row>
    <row r="29" spans="1:11">
      <c r="F29" s="27"/>
    </row>
    <row r="43" spans="4:5">
      <c r="D43" s="28"/>
    </row>
    <row r="45" spans="4:5" ht="21">
      <c r="E45" s="29"/>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EBD9E-392C-4305-B76B-EC1582374479}">
  <sheetPr>
    <tabColor rgb="FF00B050"/>
  </sheetPr>
  <dimension ref="A1:O29"/>
  <sheetViews>
    <sheetView topLeftCell="A6" workbookViewId="0">
      <selection activeCell="H20" sqref="H20"/>
    </sheetView>
  </sheetViews>
  <sheetFormatPr defaultRowHeight="14.5"/>
  <cols>
    <col min="1" max="1" width="15.81640625" bestFit="1" customWidth="1"/>
    <col min="2" max="2" width="47.08984375" customWidth="1"/>
  </cols>
  <sheetData>
    <row r="1" spans="1:15" ht="28.5">
      <c r="A1" s="30" t="s">
        <v>0</v>
      </c>
      <c r="B1" s="30"/>
      <c r="C1" s="30"/>
      <c r="D1" s="30"/>
      <c r="E1" s="30"/>
      <c r="F1" s="30"/>
      <c r="G1" s="30"/>
      <c r="H1" s="30"/>
      <c r="I1" s="30"/>
      <c r="J1" s="30"/>
      <c r="K1" s="30"/>
      <c r="L1" s="30"/>
      <c r="M1" s="30"/>
      <c r="N1" s="30"/>
      <c r="O1" s="30"/>
    </row>
    <row r="2" spans="1:15">
      <c r="A2" s="3"/>
      <c r="B2" s="2"/>
    </row>
    <row r="3" spans="1:15">
      <c r="A3" s="1" t="s">
        <v>1</v>
      </c>
      <c r="B3" s="2" t="s">
        <v>365</v>
      </c>
    </row>
    <row r="4" spans="1:15">
      <c r="A4" s="1" t="s">
        <v>2</v>
      </c>
      <c r="B4" s="2" t="s">
        <v>3</v>
      </c>
    </row>
    <row r="5" spans="1:15">
      <c r="A5" s="1" t="s">
        <v>4</v>
      </c>
      <c r="B5" s="2" t="s">
        <v>5</v>
      </c>
    </row>
    <row r="6" spans="1:15">
      <c r="A6" s="1" t="s">
        <v>6</v>
      </c>
      <c r="B6" s="2" t="s">
        <v>7</v>
      </c>
    </row>
    <row r="7" spans="1:15">
      <c r="A7" s="1" t="s">
        <v>8</v>
      </c>
      <c r="B7" s="2">
        <v>300</v>
      </c>
    </row>
    <row r="8" spans="1:15">
      <c r="A8" s="1" t="s">
        <v>9</v>
      </c>
      <c r="B8" s="2">
        <v>7</v>
      </c>
    </row>
    <row r="9" spans="1:15">
      <c r="A9" s="1" t="s">
        <v>10</v>
      </c>
      <c r="B9" s="2">
        <v>297</v>
      </c>
    </row>
    <row r="10" spans="1:15">
      <c r="A10" s="1" t="s">
        <v>11</v>
      </c>
      <c r="B10" s="2">
        <v>7</v>
      </c>
    </row>
    <row r="11" spans="1:15">
      <c r="A11" s="4" t="s">
        <v>367</v>
      </c>
      <c r="B11" s="5">
        <v>15</v>
      </c>
    </row>
    <row r="12" spans="1:15">
      <c r="A12" s="4" t="s">
        <v>12</v>
      </c>
      <c r="B12" s="5">
        <v>3</v>
      </c>
    </row>
    <row r="13" spans="1:15">
      <c r="A13" s="4" t="s">
        <v>366</v>
      </c>
      <c r="B13">
        <v>16</v>
      </c>
    </row>
    <row r="17" spans="1:8" ht="23.5">
      <c r="A17" s="15" t="s">
        <v>354</v>
      </c>
    </row>
    <row r="18" spans="1:8">
      <c r="A18" s="16"/>
    </row>
    <row r="19" spans="1:8">
      <c r="A19" s="17" t="s">
        <v>379</v>
      </c>
      <c r="C19" t="s">
        <v>377</v>
      </c>
      <c r="H19" t="e">
        <f>AVERAGEIF([2]Deeqo1!C2:C297,"Computer Science",[2]Deeqo1!B2:B297)</f>
        <v>#VALUE!</v>
      </c>
    </row>
    <row r="20" spans="1:8">
      <c r="A20" s="17" t="s">
        <v>380</v>
      </c>
      <c r="C20" t="s">
        <v>378</v>
      </c>
      <c r="D20">
        <v>18.52</v>
      </c>
    </row>
    <row r="21" spans="1:8">
      <c r="A21" s="17" t="s">
        <v>355</v>
      </c>
    </row>
    <row r="22" spans="1:8">
      <c r="A22" s="17" t="s">
        <v>356</v>
      </c>
    </row>
    <row r="23" spans="1:8">
      <c r="A23" s="17" t="s">
        <v>357</v>
      </c>
    </row>
    <row r="25" spans="1:8" ht="23.5">
      <c r="A25" s="15" t="s">
        <v>358</v>
      </c>
    </row>
    <row r="26" spans="1:8">
      <c r="A26" s="16"/>
    </row>
    <row r="27" spans="1:8">
      <c r="A27" s="17" t="s">
        <v>359</v>
      </c>
    </row>
    <row r="28" spans="1:8">
      <c r="A28" s="17" t="s">
        <v>360</v>
      </c>
    </row>
    <row r="29" spans="1:8">
      <c r="A29" s="17" t="s">
        <v>361</v>
      </c>
    </row>
  </sheetData>
  <mergeCells count="1">
    <mergeCell ref="A1:O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Original data</vt:lpstr>
      <vt:lpstr>Clean_Data</vt:lpstr>
      <vt:lpstr>Analysis</vt:lpstr>
      <vt:lpstr>PivotTables</vt:lpstr>
      <vt:lpstr>dashbord</vt:lpstr>
      <vt:lpstr>Project-info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Rahma</dc:creator>
  <cp:lastModifiedBy>Rahma</cp:lastModifiedBy>
  <dcterms:created xsi:type="dcterms:W3CDTF">2026-08-13T08:19:53Z</dcterms:created>
  <dcterms:modified xsi:type="dcterms:W3CDTF">2026-08-24T08:21:05Z</dcterms:modified>
</cp:coreProperties>
</file>